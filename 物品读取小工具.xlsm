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wyoungliu\Desktop\WeaponIniTool\"/>
    </mc:Choice>
  </mc:AlternateContent>
  <bookViews>
    <workbookView xWindow="0" yWindow="0" windowWidth="28800" windowHeight="11280" activeTab="1"/>
  </bookViews>
  <sheets>
    <sheet name="配置" sheetId="2" r:id="rId1"/>
    <sheet name="道具物品池" sheetId="3" r:id="rId2"/>
    <sheet name="Fox1" sheetId="1" r:id="rId3"/>
    <sheet name="DATA" sheetId="4" r:id="rId4"/>
  </sheets>
  <definedNames>
    <definedName name="VBA_CsvPath">配置!$B$1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76" i="3" l="1"/>
  <c r="H576" i="3"/>
  <c r="G576" i="3"/>
  <c r="D576" i="3"/>
  <c r="C576" i="3"/>
  <c r="B576" i="3"/>
  <c r="I575" i="3"/>
  <c r="H575" i="3"/>
  <c r="G575" i="3"/>
  <c r="D575" i="3"/>
  <c r="C575" i="3"/>
  <c r="B575" i="3"/>
  <c r="I574" i="3"/>
  <c r="H574" i="3"/>
  <c r="G574" i="3"/>
  <c r="D574" i="3"/>
  <c r="C574" i="3"/>
  <c r="B574" i="3"/>
  <c r="I573" i="3"/>
  <c r="H573" i="3"/>
  <c r="G573" i="3"/>
  <c r="D573" i="3"/>
  <c r="C573" i="3"/>
  <c r="B573" i="3"/>
  <c r="I572" i="3"/>
  <c r="H572" i="3"/>
  <c r="G572" i="3"/>
  <c r="D572" i="3"/>
  <c r="C572" i="3"/>
  <c r="B572" i="3"/>
  <c r="I571" i="3"/>
  <c r="H571" i="3"/>
  <c r="G571" i="3"/>
  <c r="D571" i="3"/>
  <c r="C571" i="3"/>
  <c r="B571" i="3"/>
  <c r="I570" i="3"/>
  <c r="H570" i="3"/>
  <c r="G570" i="3"/>
  <c r="D570" i="3"/>
  <c r="C570" i="3"/>
  <c r="B570" i="3"/>
  <c r="I569" i="3"/>
  <c r="H569" i="3"/>
  <c r="G569" i="3"/>
  <c r="D569" i="3"/>
  <c r="C569" i="3"/>
  <c r="B569" i="3"/>
  <c r="I568" i="3"/>
  <c r="H568" i="3"/>
  <c r="G568" i="3"/>
  <c r="D568" i="3"/>
  <c r="C568" i="3"/>
  <c r="B568" i="3"/>
  <c r="I567" i="3"/>
  <c r="H567" i="3"/>
  <c r="G567" i="3"/>
  <c r="D567" i="3"/>
  <c r="C567" i="3"/>
  <c r="B567" i="3"/>
  <c r="I566" i="3"/>
  <c r="H566" i="3"/>
  <c r="G566" i="3"/>
  <c r="D566" i="3"/>
  <c r="C566" i="3"/>
  <c r="B566" i="3"/>
  <c r="I565" i="3"/>
  <c r="H565" i="3"/>
  <c r="G565" i="3"/>
  <c r="D565" i="3"/>
  <c r="C565" i="3"/>
  <c r="B565" i="3"/>
  <c r="I564" i="3"/>
  <c r="H564" i="3"/>
  <c r="G564" i="3"/>
  <c r="D564" i="3"/>
  <c r="C564" i="3"/>
  <c r="B564" i="3"/>
  <c r="I563" i="3"/>
  <c r="H563" i="3"/>
  <c r="G563" i="3"/>
  <c r="D563" i="3"/>
  <c r="C563" i="3"/>
  <c r="B563" i="3"/>
  <c r="I562" i="3"/>
  <c r="H562" i="3"/>
  <c r="G562" i="3"/>
  <c r="D562" i="3"/>
  <c r="C562" i="3"/>
  <c r="B562" i="3"/>
  <c r="I561" i="3"/>
  <c r="H561" i="3"/>
  <c r="G561" i="3"/>
  <c r="D561" i="3"/>
  <c r="C561" i="3"/>
  <c r="B561" i="3"/>
  <c r="I560" i="3"/>
  <c r="H560" i="3"/>
  <c r="G560" i="3"/>
  <c r="D560" i="3"/>
  <c r="C560" i="3"/>
  <c r="B560" i="3"/>
  <c r="I559" i="3"/>
  <c r="H559" i="3"/>
  <c r="G559" i="3"/>
  <c r="D559" i="3"/>
  <c r="C559" i="3"/>
  <c r="B559" i="3"/>
  <c r="I558" i="3"/>
  <c r="H558" i="3"/>
  <c r="G558" i="3"/>
  <c r="D558" i="3"/>
  <c r="C558" i="3"/>
  <c r="B558" i="3"/>
  <c r="I557" i="3"/>
  <c r="H557" i="3"/>
  <c r="G557" i="3"/>
  <c r="D557" i="3"/>
  <c r="C557" i="3"/>
  <c r="B557" i="3"/>
  <c r="I556" i="3"/>
  <c r="H556" i="3"/>
  <c r="G556" i="3"/>
  <c r="D556" i="3"/>
  <c r="C556" i="3"/>
  <c r="B556" i="3"/>
  <c r="I555" i="3"/>
  <c r="H555" i="3"/>
  <c r="G555" i="3"/>
  <c r="D555" i="3"/>
  <c r="C555" i="3"/>
  <c r="B555" i="3"/>
  <c r="I554" i="3"/>
  <c r="H554" i="3"/>
  <c r="G554" i="3"/>
  <c r="D554" i="3"/>
  <c r="C554" i="3"/>
  <c r="B554" i="3"/>
  <c r="I553" i="3"/>
  <c r="H553" i="3"/>
  <c r="G553" i="3"/>
  <c r="D553" i="3"/>
  <c r="C553" i="3"/>
  <c r="B553" i="3"/>
  <c r="I552" i="3"/>
  <c r="H552" i="3"/>
  <c r="G552" i="3"/>
  <c r="D552" i="3"/>
  <c r="C552" i="3"/>
  <c r="B552" i="3"/>
  <c r="I551" i="3"/>
  <c r="H551" i="3"/>
  <c r="G551" i="3"/>
  <c r="D551" i="3"/>
  <c r="C551" i="3"/>
  <c r="B551" i="3"/>
  <c r="I550" i="3"/>
  <c r="H550" i="3"/>
  <c r="G550" i="3"/>
  <c r="D550" i="3"/>
  <c r="C550" i="3"/>
  <c r="B550" i="3"/>
  <c r="I549" i="3"/>
  <c r="H549" i="3"/>
  <c r="G549" i="3"/>
  <c r="D549" i="3"/>
  <c r="C549" i="3"/>
  <c r="B549" i="3"/>
  <c r="I548" i="3"/>
  <c r="H548" i="3"/>
  <c r="G548" i="3"/>
  <c r="D548" i="3"/>
  <c r="C548" i="3"/>
  <c r="B548" i="3"/>
  <c r="I547" i="3"/>
  <c r="H547" i="3"/>
  <c r="G547" i="3"/>
  <c r="D547" i="3"/>
  <c r="C547" i="3"/>
  <c r="B547" i="3"/>
  <c r="I546" i="3"/>
  <c r="H546" i="3"/>
  <c r="G546" i="3"/>
  <c r="D546" i="3"/>
  <c r="C546" i="3"/>
  <c r="B546" i="3"/>
  <c r="I545" i="3"/>
  <c r="H545" i="3"/>
  <c r="G545" i="3"/>
  <c r="D545" i="3"/>
  <c r="C545" i="3"/>
  <c r="B545" i="3"/>
  <c r="I544" i="3"/>
  <c r="H544" i="3"/>
  <c r="G544" i="3"/>
  <c r="D544" i="3"/>
  <c r="C544" i="3"/>
  <c r="B544" i="3"/>
  <c r="I543" i="3"/>
  <c r="H543" i="3"/>
  <c r="G543" i="3"/>
  <c r="D543" i="3"/>
  <c r="C543" i="3"/>
  <c r="B543" i="3"/>
  <c r="I542" i="3"/>
  <c r="H542" i="3"/>
  <c r="G542" i="3"/>
  <c r="D542" i="3"/>
  <c r="C542" i="3"/>
  <c r="B542" i="3"/>
  <c r="I541" i="3"/>
  <c r="H541" i="3"/>
  <c r="G541" i="3"/>
  <c r="D541" i="3"/>
  <c r="C541" i="3"/>
  <c r="B541" i="3"/>
  <c r="I540" i="3"/>
  <c r="H540" i="3"/>
  <c r="G540" i="3"/>
  <c r="D540" i="3"/>
  <c r="C540" i="3"/>
  <c r="B540" i="3"/>
  <c r="I539" i="3"/>
  <c r="H539" i="3"/>
  <c r="G539" i="3"/>
  <c r="D539" i="3"/>
  <c r="C539" i="3"/>
  <c r="B539" i="3"/>
  <c r="I538" i="3"/>
  <c r="H538" i="3"/>
  <c r="G538" i="3"/>
  <c r="D538" i="3"/>
  <c r="C538" i="3"/>
  <c r="B538" i="3"/>
  <c r="I537" i="3"/>
  <c r="H537" i="3"/>
  <c r="G537" i="3"/>
  <c r="D537" i="3"/>
  <c r="C537" i="3"/>
  <c r="B537" i="3"/>
  <c r="I536" i="3"/>
  <c r="H536" i="3"/>
  <c r="G536" i="3"/>
  <c r="D536" i="3"/>
  <c r="C536" i="3"/>
  <c r="B536" i="3"/>
  <c r="I535" i="3"/>
  <c r="H535" i="3"/>
  <c r="G535" i="3"/>
  <c r="D535" i="3"/>
  <c r="C535" i="3"/>
  <c r="B535" i="3"/>
  <c r="I534" i="3"/>
  <c r="H534" i="3"/>
  <c r="G534" i="3"/>
  <c r="D534" i="3"/>
  <c r="C534" i="3"/>
  <c r="B534" i="3"/>
  <c r="I533" i="3"/>
  <c r="H533" i="3"/>
  <c r="G533" i="3"/>
  <c r="D533" i="3"/>
  <c r="C533" i="3"/>
  <c r="B533" i="3"/>
  <c r="I532" i="3"/>
  <c r="H532" i="3"/>
  <c r="G532" i="3"/>
  <c r="D532" i="3"/>
  <c r="C532" i="3"/>
  <c r="B532" i="3"/>
  <c r="I531" i="3"/>
  <c r="H531" i="3"/>
  <c r="G531" i="3"/>
  <c r="D531" i="3"/>
  <c r="C531" i="3"/>
  <c r="B531" i="3"/>
  <c r="I530" i="3"/>
  <c r="H530" i="3"/>
  <c r="G530" i="3"/>
  <c r="D530" i="3"/>
  <c r="C530" i="3"/>
  <c r="B530" i="3"/>
  <c r="I529" i="3"/>
  <c r="H529" i="3"/>
  <c r="G529" i="3"/>
  <c r="D529" i="3"/>
  <c r="C529" i="3"/>
  <c r="B529" i="3"/>
  <c r="I528" i="3"/>
  <c r="H528" i="3"/>
  <c r="G528" i="3"/>
  <c r="D528" i="3"/>
  <c r="C528" i="3"/>
  <c r="B528" i="3"/>
  <c r="I527" i="3"/>
  <c r="H527" i="3"/>
  <c r="G527" i="3"/>
  <c r="D527" i="3"/>
  <c r="C527" i="3"/>
  <c r="B527" i="3"/>
  <c r="I526" i="3"/>
  <c r="H526" i="3"/>
  <c r="G526" i="3"/>
  <c r="D526" i="3"/>
  <c r="C526" i="3"/>
  <c r="B526" i="3"/>
  <c r="I525" i="3"/>
  <c r="H525" i="3"/>
  <c r="G525" i="3"/>
  <c r="D525" i="3"/>
  <c r="C525" i="3"/>
  <c r="B525" i="3"/>
  <c r="I524" i="3"/>
  <c r="H524" i="3"/>
  <c r="G524" i="3"/>
  <c r="D524" i="3"/>
  <c r="C524" i="3"/>
  <c r="B524" i="3"/>
  <c r="I523" i="3"/>
  <c r="H523" i="3"/>
  <c r="G523" i="3"/>
  <c r="D523" i="3"/>
  <c r="C523" i="3"/>
  <c r="B523" i="3"/>
  <c r="I522" i="3"/>
  <c r="H522" i="3"/>
  <c r="G522" i="3"/>
  <c r="D522" i="3"/>
  <c r="C522" i="3"/>
  <c r="B522" i="3"/>
  <c r="I521" i="3"/>
  <c r="H521" i="3"/>
  <c r="G521" i="3"/>
  <c r="D521" i="3"/>
  <c r="C521" i="3"/>
  <c r="B521" i="3"/>
  <c r="I520" i="3"/>
  <c r="H520" i="3"/>
  <c r="G520" i="3"/>
  <c r="D520" i="3"/>
  <c r="C520" i="3"/>
  <c r="B520" i="3"/>
  <c r="I519" i="3"/>
  <c r="H519" i="3"/>
  <c r="G519" i="3"/>
  <c r="D519" i="3"/>
  <c r="C519" i="3"/>
  <c r="B519" i="3"/>
  <c r="I518" i="3"/>
  <c r="H518" i="3"/>
  <c r="G518" i="3"/>
  <c r="D518" i="3"/>
  <c r="C518" i="3"/>
  <c r="B518" i="3"/>
  <c r="I517" i="3"/>
  <c r="H517" i="3"/>
  <c r="G517" i="3"/>
  <c r="D517" i="3"/>
  <c r="C517" i="3"/>
  <c r="B517" i="3"/>
  <c r="I516" i="3"/>
  <c r="H516" i="3"/>
  <c r="G516" i="3"/>
  <c r="D516" i="3"/>
  <c r="C516" i="3"/>
  <c r="B516" i="3"/>
  <c r="I515" i="3"/>
  <c r="H515" i="3"/>
  <c r="G515" i="3"/>
  <c r="D515" i="3"/>
  <c r="C515" i="3"/>
  <c r="B515" i="3"/>
  <c r="I514" i="3"/>
  <c r="H514" i="3"/>
  <c r="G514" i="3"/>
  <c r="D514" i="3"/>
  <c r="C514" i="3"/>
  <c r="B514" i="3"/>
  <c r="I513" i="3"/>
  <c r="H513" i="3"/>
  <c r="G513" i="3"/>
  <c r="D513" i="3"/>
  <c r="C513" i="3"/>
  <c r="B513" i="3"/>
  <c r="I512" i="3"/>
  <c r="H512" i="3"/>
  <c r="G512" i="3"/>
  <c r="D512" i="3"/>
  <c r="C512" i="3"/>
  <c r="B512" i="3"/>
  <c r="I511" i="3"/>
  <c r="H511" i="3"/>
  <c r="G511" i="3"/>
  <c r="D511" i="3"/>
  <c r="C511" i="3"/>
  <c r="B511" i="3"/>
  <c r="I510" i="3"/>
  <c r="H510" i="3"/>
  <c r="G510" i="3"/>
  <c r="D510" i="3"/>
  <c r="C510" i="3"/>
  <c r="B510" i="3"/>
  <c r="I509" i="3"/>
  <c r="H509" i="3"/>
  <c r="G509" i="3"/>
  <c r="D509" i="3"/>
  <c r="C509" i="3"/>
  <c r="B509" i="3"/>
  <c r="I508" i="3"/>
  <c r="H508" i="3"/>
  <c r="G508" i="3"/>
  <c r="D508" i="3"/>
  <c r="C508" i="3"/>
  <c r="B508" i="3"/>
  <c r="I507" i="3"/>
  <c r="H507" i="3"/>
  <c r="G507" i="3"/>
  <c r="D507" i="3"/>
  <c r="C507" i="3"/>
  <c r="B507" i="3"/>
  <c r="I506" i="3"/>
  <c r="H506" i="3"/>
  <c r="G506" i="3"/>
  <c r="D506" i="3"/>
  <c r="C506" i="3"/>
  <c r="B506" i="3"/>
  <c r="I505" i="3"/>
  <c r="H505" i="3"/>
  <c r="G505" i="3"/>
  <c r="D505" i="3"/>
  <c r="C505" i="3"/>
  <c r="B505" i="3"/>
  <c r="I504" i="3"/>
  <c r="H504" i="3"/>
  <c r="G504" i="3"/>
  <c r="D504" i="3"/>
  <c r="C504" i="3"/>
  <c r="B504" i="3"/>
  <c r="I503" i="3"/>
  <c r="H503" i="3"/>
  <c r="G503" i="3"/>
  <c r="D503" i="3"/>
  <c r="C503" i="3"/>
  <c r="B503" i="3"/>
  <c r="I502" i="3"/>
  <c r="H502" i="3"/>
  <c r="G502" i="3"/>
  <c r="D502" i="3"/>
  <c r="C502" i="3"/>
  <c r="B502" i="3"/>
  <c r="I501" i="3"/>
  <c r="H501" i="3"/>
  <c r="G501" i="3"/>
  <c r="D501" i="3"/>
  <c r="C501" i="3"/>
  <c r="B501" i="3"/>
  <c r="I500" i="3"/>
  <c r="H500" i="3"/>
  <c r="G500" i="3"/>
  <c r="D500" i="3"/>
  <c r="C500" i="3"/>
  <c r="B500" i="3"/>
  <c r="I499" i="3"/>
  <c r="H499" i="3"/>
  <c r="G499" i="3"/>
  <c r="D499" i="3"/>
  <c r="C499" i="3"/>
  <c r="B499" i="3"/>
  <c r="I498" i="3"/>
  <c r="H498" i="3"/>
  <c r="G498" i="3"/>
  <c r="D498" i="3"/>
  <c r="C498" i="3"/>
  <c r="B498" i="3"/>
  <c r="I497" i="3"/>
  <c r="H497" i="3"/>
  <c r="G497" i="3"/>
  <c r="D497" i="3"/>
  <c r="C497" i="3"/>
  <c r="B497" i="3"/>
  <c r="I496" i="3"/>
  <c r="H496" i="3"/>
  <c r="G496" i="3"/>
  <c r="D496" i="3"/>
  <c r="C496" i="3"/>
  <c r="B496" i="3"/>
  <c r="I495" i="3"/>
  <c r="H495" i="3"/>
  <c r="G495" i="3"/>
  <c r="D495" i="3"/>
  <c r="C495" i="3"/>
  <c r="B495" i="3"/>
  <c r="I494" i="3"/>
  <c r="H494" i="3"/>
  <c r="G494" i="3"/>
  <c r="D494" i="3"/>
  <c r="C494" i="3"/>
  <c r="B494" i="3"/>
  <c r="I493" i="3"/>
  <c r="H493" i="3"/>
  <c r="G493" i="3"/>
  <c r="D493" i="3"/>
  <c r="C493" i="3"/>
  <c r="B493" i="3"/>
  <c r="I492" i="3"/>
  <c r="H492" i="3"/>
  <c r="G492" i="3"/>
  <c r="D492" i="3"/>
  <c r="C492" i="3"/>
  <c r="B492" i="3"/>
  <c r="I491" i="3"/>
  <c r="H491" i="3"/>
  <c r="G491" i="3"/>
  <c r="D491" i="3"/>
  <c r="C491" i="3"/>
  <c r="B491" i="3"/>
  <c r="I490" i="3"/>
  <c r="H490" i="3"/>
  <c r="G490" i="3"/>
  <c r="D490" i="3"/>
  <c r="C490" i="3"/>
  <c r="B490" i="3"/>
  <c r="I489" i="3"/>
  <c r="H489" i="3"/>
  <c r="G489" i="3"/>
  <c r="D489" i="3"/>
  <c r="C489" i="3"/>
  <c r="B489" i="3"/>
  <c r="I488" i="3"/>
  <c r="H488" i="3"/>
  <c r="G488" i="3"/>
  <c r="D488" i="3"/>
  <c r="C488" i="3"/>
  <c r="B488" i="3"/>
  <c r="I487" i="3"/>
  <c r="H487" i="3"/>
  <c r="G487" i="3"/>
  <c r="D487" i="3"/>
  <c r="C487" i="3"/>
  <c r="B487" i="3"/>
  <c r="I486" i="3"/>
  <c r="H486" i="3"/>
  <c r="G486" i="3"/>
  <c r="D486" i="3"/>
  <c r="C486" i="3"/>
  <c r="B486" i="3"/>
  <c r="I485" i="3"/>
  <c r="H485" i="3"/>
  <c r="G485" i="3"/>
  <c r="D485" i="3"/>
  <c r="C485" i="3"/>
  <c r="B485" i="3"/>
  <c r="I484" i="3"/>
  <c r="H484" i="3"/>
  <c r="G484" i="3"/>
  <c r="D484" i="3"/>
  <c r="C484" i="3"/>
  <c r="B484" i="3"/>
  <c r="I483" i="3"/>
  <c r="H483" i="3"/>
  <c r="G483" i="3"/>
  <c r="D483" i="3"/>
  <c r="C483" i="3"/>
  <c r="B483" i="3"/>
  <c r="I482" i="3"/>
  <c r="H482" i="3"/>
  <c r="G482" i="3"/>
  <c r="D482" i="3"/>
  <c r="C482" i="3"/>
  <c r="B482" i="3"/>
  <c r="I481" i="3"/>
  <c r="H481" i="3"/>
  <c r="G481" i="3"/>
  <c r="D481" i="3"/>
  <c r="C481" i="3"/>
  <c r="B481" i="3"/>
  <c r="I480" i="3"/>
  <c r="H480" i="3"/>
  <c r="G480" i="3"/>
  <c r="D480" i="3"/>
  <c r="C480" i="3"/>
  <c r="B480" i="3"/>
  <c r="I479" i="3"/>
  <c r="H479" i="3"/>
  <c r="G479" i="3"/>
  <c r="D479" i="3"/>
  <c r="C479" i="3"/>
  <c r="B479" i="3"/>
  <c r="I478" i="3"/>
  <c r="H478" i="3"/>
  <c r="G478" i="3"/>
  <c r="D478" i="3"/>
  <c r="C478" i="3"/>
  <c r="B478" i="3"/>
  <c r="I477" i="3"/>
  <c r="H477" i="3"/>
  <c r="G477" i="3"/>
  <c r="D477" i="3"/>
  <c r="C477" i="3"/>
  <c r="B477" i="3"/>
  <c r="I476" i="3"/>
  <c r="H476" i="3"/>
  <c r="G476" i="3"/>
  <c r="D476" i="3"/>
  <c r="C476" i="3"/>
  <c r="B476" i="3"/>
  <c r="I475" i="3"/>
  <c r="H475" i="3"/>
  <c r="G475" i="3"/>
  <c r="D475" i="3"/>
  <c r="C475" i="3"/>
  <c r="B475" i="3"/>
  <c r="I474" i="3"/>
  <c r="H474" i="3"/>
  <c r="G474" i="3"/>
  <c r="D474" i="3"/>
  <c r="C474" i="3"/>
  <c r="B474" i="3"/>
  <c r="I473" i="3"/>
  <c r="H473" i="3"/>
  <c r="G473" i="3"/>
  <c r="D473" i="3"/>
  <c r="C473" i="3"/>
  <c r="B473" i="3"/>
  <c r="I472" i="3"/>
  <c r="H472" i="3"/>
  <c r="G472" i="3"/>
  <c r="D472" i="3"/>
  <c r="C472" i="3"/>
  <c r="B472" i="3"/>
  <c r="I471" i="3"/>
  <c r="H471" i="3"/>
  <c r="G471" i="3"/>
  <c r="D471" i="3"/>
  <c r="C471" i="3"/>
  <c r="B471" i="3"/>
  <c r="I470" i="3"/>
  <c r="H470" i="3"/>
  <c r="G470" i="3"/>
  <c r="D470" i="3"/>
  <c r="C470" i="3"/>
  <c r="B470" i="3"/>
  <c r="I469" i="3"/>
  <c r="H469" i="3"/>
  <c r="G469" i="3"/>
  <c r="D469" i="3"/>
  <c r="C469" i="3"/>
  <c r="B469" i="3"/>
  <c r="I468" i="3"/>
  <c r="H468" i="3"/>
  <c r="G468" i="3"/>
  <c r="D468" i="3"/>
  <c r="C468" i="3"/>
  <c r="B468" i="3"/>
  <c r="I467" i="3"/>
  <c r="H467" i="3"/>
  <c r="G467" i="3"/>
  <c r="D467" i="3"/>
  <c r="C467" i="3"/>
  <c r="B467" i="3"/>
  <c r="I466" i="3"/>
  <c r="H466" i="3"/>
  <c r="G466" i="3"/>
  <c r="D466" i="3"/>
  <c r="C466" i="3"/>
  <c r="B466" i="3"/>
  <c r="I465" i="3"/>
  <c r="H465" i="3"/>
  <c r="G465" i="3"/>
  <c r="D465" i="3"/>
  <c r="C465" i="3"/>
  <c r="B465" i="3"/>
  <c r="I464" i="3"/>
  <c r="H464" i="3"/>
  <c r="G464" i="3"/>
  <c r="D464" i="3"/>
  <c r="C464" i="3"/>
  <c r="B464" i="3"/>
  <c r="I463" i="3"/>
  <c r="H463" i="3"/>
  <c r="G463" i="3"/>
  <c r="D463" i="3"/>
  <c r="C463" i="3"/>
  <c r="B463" i="3"/>
  <c r="I462" i="3"/>
  <c r="H462" i="3"/>
  <c r="G462" i="3"/>
  <c r="D462" i="3"/>
  <c r="C462" i="3"/>
  <c r="B462" i="3"/>
  <c r="I461" i="3"/>
  <c r="H461" i="3"/>
  <c r="G461" i="3"/>
  <c r="D461" i="3"/>
  <c r="C461" i="3"/>
  <c r="B461" i="3"/>
  <c r="I460" i="3"/>
  <c r="H460" i="3"/>
  <c r="G460" i="3"/>
  <c r="D460" i="3"/>
  <c r="C460" i="3"/>
  <c r="B460" i="3"/>
  <c r="I459" i="3"/>
  <c r="H459" i="3"/>
  <c r="G459" i="3"/>
  <c r="D459" i="3"/>
  <c r="C459" i="3"/>
  <c r="B459" i="3"/>
  <c r="I458" i="3"/>
  <c r="H458" i="3"/>
  <c r="G458" i="3"/>
  <c r="D458" i="3"/>
  <c r="C458" i="3"/>
  <c r="B458" i="3"/>
  <c r="I457" i="3"/>
  <c r="H457" i="3"/>
  <c r="G457" i="3"/>
  <c r="D457" i="3"/>
  <c r="C457" i="3"/>
  <c r="B457" i="3"/>
  <c r="I456" i="3"/>
  <c r="H456" i="3"/>
  <c r="G456" i="3"/>
  <c r="D456" i="3"/>
  <c r="C456" i="3"/>
  <c r="B456" i="3"/>
  <c r="I455" i="3"/>
  <c r="H455" i="3"/>
  <c r="G455" i="3"/>
  <c r="D455" i="3"/>
  <c r="C455" i="3"/>
  <c r="B455" i="3"/>
  <c r="I454" i="3"/>
  <c r="H454" i="3"/>
  <c r="G454" i="3"/>
  <c r="D454" i="3"/>
  <c r="C454" i="3"/>
  <c r="B454" i="3"/>
  <c r="I453" i="3"/>
  <c r="H453" i="3"/>
  <c r="G453" i="3"/>
  <c r="D453" i="3"/>
  <c r="C453" i="3"/>
  <c r="B453" i="3"/>
  <c r="I452" i="3"/>
  <c r="H452" i="3"/>
  <c r="G452" i="3"/>
  <c r="D452" i="3"/>
  <c r="C452" i="3"/>
  <c r="B452" i="3"/>
  <c r="I451" i="3"/>
  <c r="H451" i="3"/>
  <c r="G451" i="3"/>
  <c r="D451" i="3"/>
  <c r="C451" i="3"/>
  <c r="B451" i="3"/>
  <c r="I450" i="3"/>
  <c r="H450" i="3"/>
  <c r="G450" i="3"/>
  <c r="D450" i="3"/>
  <c r="C450" i="3"/>
  <c r="B450" i="3"/>
  <c r="I449" i="3"/>
  <c r="H449" i="3"/>
  <c r="G449" i="3"/>
  <c r="D449" i="3"/>
  <c r="C449" i="3"/>
  <c r="B449" i="3"/>
  <c r="I448" i="3"/>
  <c r="H448" i="3"/>
  <c r="G448" i="3"/>
  <c r="D448" i="3"/>
  <c r="C448" i="3"/>
  <c r="B448" i="3"/>
  <c r="I447" i="3"/>
  <c r="H447" i="3"/>
  <c r="G447" i="3"/>
  <c r="D447" i="3"/>
  <c r="C447" i="3"/>
  <c r="B447" i="3"/>
  <c r="I446" i="3"/>
  <c r="H446" i="3"/>
  <c r="G446" i="3"/>
  <c r="D446" i="3"/>
  <c r="C446" i="3"/>
  <c r="B446" i="3"/>
  <c r="I445" i="3"/>
  <c r="H445" i="3"/>
  <c r="G445" i="3"/>
  <c r="D445" i="3"/>
  <c r="C445" i="3"/>
  <c r="B445" i="3"/>
  <c r="I444" i="3"/>
  <c r="H444" i="3"/>
  <c r="G444" i="3"/>
  <c r="D444" i="3"/>
  <c r="C444" i="3"/>
  <c r="B444" i="3"/>
  <c r="I443" i="3"/>
  <c r="H443" i="3"/>
  <c r="G443" i="3"/>
  <c r="D443" i="3"/>
  <c r="C443" i="3"/>
  <c r="B443" i="3"/>
  <c r="I442" i="3"/>
  <c r="H442" i="3"/>
  <c r="G442" i="3"/>
  <c r="D442" i="3"/>
  <c r="C442" i="3"/>
  <c r="B442" i="3"/>
  <c r="I441" i="3"/>
  <c r="H441" i="3"/>
  <c r="G441" i="3"/>
  <c r="D441" i="3"/>
  <c r="C441" i="3"/>
  <c r="B441" i="3"/>
  <c r="I440" i="3"/>
  <c r="H440" i="3"/>
  <c r="G440" i="3"/>
  <c r="D440" i="3"/>
  <c r="C440" i="3"/>
  <c r="B440" i="3"/>
  <c r="I439" i="3"/>
  <c r="H439" i="3"/>
  <c r="G439" i="3"/>
  <c r="D439" i="3"/>
  <c r="C439" i="3"/>
  <c r="B439" i="3"/>
  <c r="I438" i="3"/>
  <c r="H438" i="3"/>
  <c r="G438" i="3"/>
  <c r="D438" i="3"/>
  <c r="C438" i="3"/>
  <c r="B438" i="3"/>
  <c r="I437" i="3"/>
  <c r="H437" i="3"/>
  <c r="G437" i="3"/>
  <c r="D437" i="3"/>
  <c r="C437" i="3"/>
  <c r="B437" i="3"/>
  <c r="I436" i="3"/>
  <c r="H436" i="3"/>
  <c r="G436" i="3"/>
  <c r="D436" i="3"/>
  <c r="C436" i="3"/>
  <c r="B436" i="3"/>
  <c r="I435" i="3"/>
  <c r="H435" i="3"/>
  <c r="G435" i="3"/>
  <c r="D435" i="3"/>
  <c r="C435" i="3"/>
  <c r="B435" i="3"/>
  <c r="I434" i="3"/>
  <c r="H434" i="3"/>
  <c r="G434" i="3"/>
  <c r="D434" i="3"/>
  <c r="C434" i="3"/>
  <c r="B434" i="3"/>
  <c r="I433" i="3"/>
  <c r="H433" i="3"/>
  <c r="G433" i="3"/>
  <c r="D433" i="3"/>
  <c r="C433" i="3"/>
  <c r="B433" i="3"/>
  <c r="I432" i="3"/>
  <c r="H432" i="3"/>
  <c r="G432" i="3"/>
  <c r="D432" i="3"/>
  <c r="C432" i="3"/>
  <c r="B432" i="3"/>
  <c r="I431" i="3"/>
  <c r="H431" i="3"/>
  <c r="G431" i="3"/>
  <c r="D431" i="3"/>
  <c r="C431" i="3"/>
  <c r="B431" i="3"/>
  <c r="I430" i="3"/>
  <c r="H430" i="3"/>
  <c r="G430" i="3"/>
  <c r="D430" i="3"/>
  <c r="C430" i="3"/>
  <c r="B430" i="3"/>
  <c r="I429" i="3"/>
  <c r="H429" i="3"/>
  <c r="G429" i="3"/>
  <c r="D429" i="3"/>
  <c r="C429" i="3"/>
  <c r="B429" i="3"/>
  <c r="I428" i="3"/>
  <c r="H428" i="3"/>
  <c r="G428" i="3"/>
  <c r="D428" i="3"/>
  <c r="C428" i="3"/>
  <c r="B428" i="3"/>
  <c r="I427" i="3"/>
  <c r="H427" i="3"/>
  <c r="G427" i="3"/>
  <c r="D427" i="3"/>
  <c r="C427" i="3"/>
  <c r="B427" i="3"/>
  <c r="I426" i="3"/>
  <c r="H426" i="3"/>
  <c r="G426" i="3"/>
  <c r="D426" i="3"/>
  <c r="C426" i="3"/>
  <c r="B426" i="3"/>
  <c r="I425" i="3"/>
  <c r="H425" i="3"/>
  <c r="G425" i="3"/>
  <c r="D425" i="3"/>
  <c r="C425" i="3"/>
  <c r="B425" i="3"/>
  <c r="I424" i="3"/>
  <c r="H424" i="3"/>
  <c r="G424" i="3"/>
  <c r="D424" i="3"/>
  <c r="C424" i="3"/>
  <c r="B424" i="3"/>
  <c r="I423" i="3"/>
  <c r="H423" i="3"/>
  <c r="G423" i="3"/>
  <c r="D423" i="3"/>
  <c r="C423" i="3"/>
  <c r="B423" i="3"/>
  <c r="I422" i="3"/>
  <c r="H422" i="3"/>
  <c r="G422" i="3"/>
  <c r="D422" i="3"/>
  <c r="C422" i="3"/>
  <c r="B422" i="3"/>
  <c r="I421" i="3"/>
  <c r="H421" i="3"/>
  <c r="G421" i="3"/>
  <c r="D421" i="3"/>
  <c r="C421" i="3"/>
  <c r="B421" i="3"/>
  <c r="I420" i="3"/>
  <c r="H420" i="3"/>
  <c r="G420" i="3"/>
  <c r="D420" i="3"/>
  <c r="C420" i="3"/>
  <c r="B420" i="3"/>
  <c r="I419" i="3"/>
  <c r="H419" i="3"/>
  <c r="G419" i="3"/>
  <c r="D419" i="3"/>
  <c r="C419" i="3"/>
  <c r="B419" i="3"/>
  <c r="I418" i="3"/>
  <c r="H418" i="3"/>
  <c r="G418" i="3"/>
  <c r="D418" i="3"/>
  <c r="C418" i="3"/>
  <c r="B418" i="3"/>
  <c r="I417" i="3"/>
  <c r="H417" i="3"/>
  <c r="G417" i="3"/>
  <c r="D417" i="3"/>
  <c r="C417" i="3"/>
  <c r="B417" i="3"/>
  <c r="I416" i="3"/>
  <c r="H416" i="3"/>
  <c r="G416" i="3"/>
  <c r="D416" i="3"/>
  <c r="C416" i="3"/>
  <c r="B416" i="3"/>
  <c r="I415" i="3"/>
  <c r="H415" i="3"/>
  <c r="G415" i="3"/>
  <c r="D415" i="3"/>
  <c r="C415" i="3"/>
  <c r="B415" i="3"/>
  <c r="I414" i="3"/>
  <c r="H414" i="3"/>
  <c r="G414" i="3"/>
  <c r="D414" i="3"/>
  <c r="C414" i="3"/>
  <c r="B414" i="3"/>
  <c r="I413" i="3"/>
  <c r="H413" i="3"/>
  <c r="G413" i="3"/>
  <c r="D413" i="3"/>
  <c r="C413" i="3"/>
  <c r="B413" i="3"/>
  <c r="I412" i="3"/>
  <c r="H412" i="3"/>
  <c r="G412" i="3"/>
  <c r="D412" i="3"/>
  <c r="C412" i="3"/>
  <c r="B412" i="3"/>
  <c r="I411" i="3"/>
  <c r="H411" i="3"/>
  <c r="G411" i="3"/>
  <c r="D411" i="3"/>
  <c r="C411" i="3"/>
  <c r="B411" i="3"/>
  <c r="I410" i="3"/>
  <c r="H410" i="3"/>
  <c r="G410" i="3"/>
  <c r="D410" i="3"/>
  <c r="C410" i="3"/>
  <c r="B410" i="3"/>
  <c r="I409" i="3"/>
  <c r="H409" i="3"/>
  <c r="G409" i="3"/>
  <c r="D409" i="3"/>
  <c r="C409" i="3"/>
  <c r="B409" i="3"/>
  <c r="I408" i="3"/>
  <c r="H408" i="3"/>
  <c r="G408" i="3"/>
  <c r="D408" i="3"/>
  <c r="C408" i="3"/>
  <c r="B408" i="3"/>
  <c r="I407" i="3"/>
  <c r="H407" i="3"/>
  <c r="G407" i="3"/>
  <c r="D407" i="3"/>
  <c r="C407" i="3"/>
  <c r="B407" i="3"/>
  <c r="I406" i="3"/>
  <c r="H406" i="3"/>
  <c r="G406" i="3"/>
  <c r="D406" i="3"/>
  <c r="C406" i="3"/>
  <c r="B406" i="3"/>
  <c r="I405" i="3"/>
  <c r="H405" i="3"/>
  <c r="G405" i="3"/>
  <c r="D405" i="3"/>
  <c r="C405" i="3"/>
  <c r="B405" i="3"/>
  <c r="I404" i="3"/>
  <c r="H404" i="3"/>
  <c r="G404" i="3"/>
  <c r="D404" i="3"/>
  <c r="C404" i="3"/>
  <c r="B404" i="3"/>
  <c r="I403" i="3"/>
  <c r="H403" i="3"/>
  <c r="G403" i="3"/>
  <c r="D403" i="3"/>
  <c r="C403" i="3"/>
  <c r="B403" i="3"/>
  <c r="I402" i="3"/>
  <c r="H402" i="3"/>
  <c r="G402" i="3"/>
  <c r="D402" i="3"/>
  <c r="C402" i="3"/>
  <c r="B402" i="3"/>
  <c r="I401" i="3"/>
  <c r="H401" i="3"/>
  <c r="G401" i="3"/>
  <c r="D401" i="3"/>
  <c r="C401" i="3"/>
  <c r="B401" i="3"/>
  <c r="I400" i="3"/>
  <c r="H400" i="3"/>
  <c r="G400" i="3"/>
  <c r="D400" i="3"/>
  <c r="C400" i="3"/>
  <c r="B400" i="3"/>
  <c r="I399" i="3"/>
  <c r="H399" i="3"/>
  <c r="G399" i="3"/>
  <c r="D399" i="3"/>
  <c r="C399" i="3"/>
  <c r="B399" i="3"/>
  <c r="I398" i="3"/>
  <c r="H398" i="3"/>
  <c r="G398" i="3"/>
  <c r="D398" i="3"/>
  <c r="C398" i="3"/>
  <c r="B398" i="3"/>
  <c r="I397" i="3"/>
  <c r="H397" i="3"/>
  <c r="G397" i="3"/>
  <c r="D397" i="3"/>
  <c r="C397" i="3"/>
  <c r="B397" i="3"/>
  <c r="I396" i="3"/>
  <c r="H396" i="3"/>
  <c r="G396" i="3"/>
  <c r="D396" i="3"/>
  <c r="C396" i="3"/>
  <c r="B396" i="3"/>
  <c r="I395" i="3"/>
  <c r="H395" i="3"/>
  <c r="G395" i="3"/>
  <c r="D395" i="3"/>
  <c r="C395" i="3"/>
  <c r="B395" i="3"/>
  <c r="I394" i="3"/>
  <c r="H394" i="3"/>
  <c r="G394" i="3"/>
  <c r="D394" i="3"/>
  <c r="C394" i="3"/>
  <c r="B394" i="3"/>
  <c r="I393" i="3"/>
  <c r="H393" i="3"/>
  <c r="G393" i="3"/>
  <c r="D393" i="3"/>
  <c r="C393" i="3"/>
  <c r="B393" i="3"/>
  <c r="I392" i="3"/>
  <c r="H392" i="3"/>
  <c r="G392" i="3"/>
  <c r="D392" i="3"/>
  <c r="C392" i="3"/>
  <c r="B392" i="3"/>
  <c r="I391" i="3"/>
  <c r="H391" i="3"/>
  <c r="G391" i="3"/>
  <c r="D391" i="3"/>
  <c r="C391" i="3"/>
  <c r="B391" i="3"/>
  <c r="I390" i="3"/>
  <c r="H390" i="3"/>
  <c r="G390" i="3"/>
  <c r="D390" i="3"/>
  <c r="C390" i="3"/>
  <c r="B390" i="3"/>
  <c r="I389" i="3"/>
  <c r="H389" i="3"/>
  <c r="G389" i="3"/>
  <c r="D389" i="3"/>
  <c r="C389" i="3"/>
  <c r="B389" i="3"/>
  <c r="I388" i="3"/>
  <c r="H388" i="3"/>
  <c r="G388" i="3"/>
  <c r="D388" i="3"/>
  <c r="C388" i="3"/>
  <c r="B388" i="3"/>
  <c r="I387" i="3"/>
  <c r="H387" i="3"/>
  <c r="G387" i="3"/>
  <c r="D387" i="3"/>
  <c r="C387" i="3"/>
  <c r="B387" i="3"/>
  <c r="I386" i="3"/>
  <c r="H386" i="3"/>
  <c r="G386" i="3"/>
  <c r="D386" i="3"/>
  <c r="C386" i="3"/>
  <c r="B386" i="3"/>
  <c r="I385" i="3"/>
  <c r="H385" i="3"/>
  <c r="G385" i="3"/>
  <c r="D385" i="3"/>
  <c r="C385" i="3"/>
  <c r="B385" i="3"/>
  <c r="I384" i="3"/>
  <c r="H384" i="3"/>
  <c r="G384" i="3"/>
  <c r="D384" i="3"/>
  <c r="C384" i="3"/>
  <c r="B384" i="3"/>
  <c r="I383" i="3"/>
  <c r="H383" i="3"/>
  <c r="G383" i="3"/>
  <c r="D383" i="3"/>
  <c r="C383" i="3"/>
  <c r="B383" i="3"/>
  <c r="I382" i="3"/>
  <c r="H382" i="3"/>
  <c r="G382" i="3"/>
  <c r="D382" i="3"/>
  <c r="C382" i="3"/>
  <c r="B382" i="3"/>
  <c r="I381" i="3"/>
  <c r="H381" i="3"/>
  <c r="G381" i="3"/>
  <c r="D381" i="3"/>
  <c r="C381" i="3"/>
  <c r="B381" i="3"/>
  <c r="I380" i="3"/>
  <c r="H380" i="3"/>
  <c r="G380" i="3"/>
  <c r="D380" i="3"/>
  <c r="C380" i="3"/>
  <c r="B380" i="3"/>
  <c r="I379" i="3"/>
  <c r="H379" i="3"/>
  <c r="G379" i="3"/>
  <c r="D379" i="3"/>
  <c r="C379" i="3"/>
  <c r="B379" i="3"/>
  <c r="I378" i="3"/>
  <c r="H378" i="3"/>
  <c r="G378" i="3"/>
  <c r="D378" i="3"/>
  <c r="C378" i="3"/>
  <c r="B378" i="3"/>
  <c r="I377" i="3"/>
  <c r="H377" i="3"/>
  <c r="G377" i="3"/>
  <c r="D377" i="3"/>
  <c r="C377" i="3"/>
  <c r="B377" i="3"/>
  <c r="I376" i="3"/>
  <c r="H376" i="3"/>
  <c r="G376" i="3"/>
  <c r="D376" i="3"/>
  <c r="C376" i="3"/>
  <c r="B376" i="3"/>
  <c r="I375" i="3"/>
  <c r="H375" i="3"/>
  <c r="G375" i="3"/>
  <c r="D375" i="3"/>
  <c r="C375" i="3"/>
  <c r="B375" i="3"/>
  <c r="I374" i="3"/>
  <c r="H374" i="3"/>
  <c r="G374" i="3"/>
  <c r="D374" i="3"/>
  <c r="C374" i="3"/>
  <c r="B374" i="3"/>
  <c r="I373" i="3"/>
  <c r="H373" i="3"/>
  <c r="G373" i="3"/>
  <c r="D373" i="3"/>
  <c r="C373" i="3"/>
  <c r="B373" i="3"/>
  <c r="I372" i="3"/>
  <c r="H372" i="3"/>
  <c r="G372" i="3"/>
  <c r="D372" i="3"/>
  <c r="C372" i="3"/>
  <c r="B372" i="3"/>
  <c r="I371" i="3"/>
  <c r="H371" i="3"/>
  <c r="G371" i="3"/>
  <c r="D371" i="3"/>
  <c r="C371" i="3"/>
  <c r="B371" i="3"/>
  <c r="I370" i="3"/>
  <c r="H370" i="3"/>
  <c r="G370" i="3"/>
  <c r="D370" i="3"/>
  <c r="C370" i="3"/>
  <c r="B370" i="3"/>
  <c r="I369" i="3"/>
  <c r="H369" i="3"/>
  <c r="G369" i="3"/>
  <c r="D369" i="3"/>
  <c r="C369" i="3"/>
  <c r="B369" i="3"/>
  <c r="I368" i="3"/>
  <c r="H368" i="3"/>
  <c r="G368" i="3"/>
  <c r="D368" i="3"/>
  <c r="C368" i="3"/>
  <c r="B368" i="3"/>
  <c r="I367" i="3"/>
  <c r="H367" i="3"/>
  <c r="G367" i="3"/>
  <c r="D367" i="3"/>
  <c r="C367" i="3"/>
  <c r="B367" i="3"/>
  <c r="I366" i="3"/>
  <c r="H366" i="3"/>
  <c r="G366" i="3"/>
  <c r="D366" i="3"/>
  <c r="C366" i="3"/>
  <c r="B366" i="3"/>
  <c r="I365" i="3"/>
  <c r="H365" i="3"/>
  <c r="G365" i="3"/>
  <c r="D365" i="3"/>
  <c r="C365" i="3"/>
  <c r="B365" i="3"/>
  <c r="I364" i="3"/>
  <c r="H364" i="3"/>
  <c r="G364" i="3"/>
  <c r="D364" i="3"/>
  <c r="C364" i="3"/>
  <c r="B364" i="3"/>
  <c r="I363" i="3"/>
  <c r="H363" i="3"/>
  <c r="G363" i="3"/>
  <c r="D363" i="3"/>
  <c r="C363" i="3"/>
  <c r="B363" i="3"/>
  <c r="I362" i="3"/>
  <c r="H362" i="3"/>
  <c r="G362" i="3"/>
  <c r="D362" i="3"/>
  <c r="C362" i="3"/>
  <c r="B362" i="3"/>
  <c r="I361" i="3"/>
  <c r="H361" i="3"/>
  <c r="G361" i="3"/>
  <c r="D361" i="3"/>
  <c r="C361" i="3"/>
  <c r="B361" i="3"/>
  <c r="I360" i="3"/>
  <c r="H360" i="3"/>
  <c r="G360" i="3"/>
  <c r="D360" i="3"/>
  <c r="C360" i="3"/>
  <c r="B360" i="3"/>
  <c r="I359" i="3"/>
  <c r="H359" i="3"/>
  <c r="G359" i="3"/>
  <c r="D359" i="3"/>
  <c r="C359" i="3"/>
  <c r="B359" i="3"/>
  <c r="I358" i="3"/>
  <c r="H358" i="3"/>
  <c r="G358" i="3"/>
  <c r="D358" i="3"/>
  <c r="C358" i="3"/>
  <c r="B358" i="3"/>
  <c r="I357" i="3"/>
  <c r="H357" i="3"/>
  <c r="G357" i="3"/>
  <c r="D357" i="3"/>
  <c r="C357" i="3"/>
  <c r="B357" i="3"/>
  <c r="I356" i="3"/>
  <c r="H356" i="3"/>
  <c r="G356" i="3"/>
  <c r="D356" i="3"/>
  <c r="C356" i="3"/>
  <c r="B356" i="3"/>
  <c r="I355" i="3"/>
  <c r="H355" i="3"/>
  <c r="G355" i="3"/>
  <c r="D355" i="3"/>
  <c r="C355" i="3"/>
  <c r="B355" i="3"/>
  <c r="I354" i="3"/>
  <c r="H354" i="3"/>
  <c r="G354" i="3"/>
  <c r="D354" i="3"/>
  <c r="C354" i="3"/>
  <c r="B354" i="3"/>
  <c r="I353" i="3"/>
  <c r="H353" i="3"/>
  <c r="G353" i="3"/>
  <c r="D353" i="3"/>
  <c r="C353" i="3"/>
  <c r="B353" i="3"/>
  <c r="I352" i="3"/>
  <c r="H352" i="3"/>
  <c r="G352" i="3"/>
  <c r="D352" i="3"/>
  <c r="C352" i="3"/>
  <c r="B352" i="3"/>
  <c r="I351" i="3"/>
  <c r="H351" i="3"/>
  <c r="G351" i="3"/>
  <c r="D351" i="3"/>
  <c r="C351" i="3"/>
  <c r="B351" i="3"/>
  <c r="I350" i="3"/>
  <c r="H350" i="3"/>
  <c r="G350" i="3"/>
  <c r="D350" i="3"/>
  <c r="C350" i="3"/>
  <c r="B350" i="3"/>
  <c r="I349" i="3"/>
  <c r="H349" i="3"/>
  <c r="G349" i="3"/>
  <c r="D349" i="3"/>
  <c r="C349" i="3"/>
  <c r="B349" i="3"/>
  <c r="I348" i="3"/>
  <c r="H348" i="3"/>
  <c r="G348" i="3"/>
  <c r="D348" i="3"/>
  <c r="C348" i="3"/>
  <c r="B348" i="3"/>
  <c r="I347" i="3"/>
  <c r="H347" i="3"/>
  <c r="G347" i="3"/>
  <c r="D347" i="3"/>
  <c r="C347" i="3"/>
  <c r="B347" i="3"/>
  <c r="I346" i="3"/>
  <c r="H346" i="3"/>
  <c r="G346" i="3"/>
  <c r="D346" i="3"/>
  <c r="C346" i="3"/>
  <c r="B346" i="3"/>
  <c r="I345" i="3"/>
  <c r="H345" i="3"/>
  <c r="G345" i="3"/>
  <c r="D345" i="3"/>
  <c r="C345" i="3"/>
  <c r="B345" i="3"/>
  <c r="I344" i="3"/>
  <c r="H344" i="3"/>
  <c r="G344" i="3"/>
  <c r="D344" i="3"/>
  <c r="C344" i="3"/>
  <c r="B344" i="3"/>
  <c r="I343" i="3"/>
  <c r="H343" i="3"/>
  <c r="G343" i="3"/>
  <c r="D343" i="3"/>
  <c r="C343" i="3"/>
  <c r="B343" i="3"/>
  <c r="I342" i="3"/>
  <c r="H342" i="3"/>
  <c r="G342" i="3"/>
  <c r="D342" i="3"/>
  <c r="C342" i="3"/>
  <c r="B342" i="3"/>
  <c r="I341" i="3"/>
  <c r="H341" i="3"/>
  <c r="G341" i="3"/>
  <c r="D341" i="3"/>
  <c r="C341" i="3"/>
  <c r="B341" i="3"/>
  <c r="I340" i="3"/>
  <c r="H340" i="3"/>
  <c r="G340" i="3"/>
  <c r="D340" i="3"/>
  <c r="C340" i="3"/>
  <c r="B340" i="3"/>
  <c r="I339" i="3"/>
  <c r="H339" i="3"/>
  <c r="G339" i="3"/>
  <c r="D339" i="3"/>
  <c r="C339" i="3"/>
  <c r="B339" i="3"/>
  <c r="I338" i="3"/>
  <c r="H338" i="3"/>
  <c r="G338" i="3"/>
  <c r="D338" i="3"/>
  <c r="C338" i="3"/>
  <c r="B338" i="3"/>
  <c r="I337" i="3"/>
  <c r="H337" i="3"/>
  <c r="G337" i="3"/>
  <c r="D337" i="3"/>
  <c r="C337" i="3"/>
  <c r="B337" i="3"/>
  <c r="I336" i="3"/>
  <c r="H336" i="3"/>
  <c r="G336" i="3"/>
  <c r="D336" i="3"/>
  <c r="C336" i="3"/>
  <c r="B336" i="3"/>
  <c r="I335" i="3"/>
  <c r="H335" i="3"/>
  <c r="G335" i="3"/>
  <c r="D335" i="3"/>
  <c r="C335" i="3"/>
  <c r="B335" i="3"/>
  <c r="I334" i="3"/>
  <c r="H334" i="3"/>
  <c r="G334" i="3"/>
  <c r="D334" i="3"/>
  <c r="C334" i="3"/>
  <c r="B334" i="3"/>
  <c r="I333" i="3"/>
  <c r="H333" i="3"/>
  <c r="G333" i="3"/>
  <c r="D333" i="3"/>
  <c r="C333" i="3"/>
  <c r="B333" i="3"/>
  <c r="I332" i="3"/>
  <c r="H332" i="3"/>
  <c r="G332" i="3"/>
  <c r="D332" i="3"/>
  <c r="C332" i="3"/>
  <c r="B332" i="3"/>
  <c r="I331" i="3"/>
  <c r="H331" i="3"/>
  <c r="G331" i="3"/>
  <c r="D331" i="3"/>
  <c r="C331" i="3"/>
  <c r="B331" i="3"/>
  <c r="I330" i="3"/>
  <c r="H330" i="3"/>
  <c r="G330" i="3"/>
  <c r="D330" i="3"/>
  <c r="C330" i="3"/>
  <c r="B330" i="3"/>
  <c r="I329" i="3"/>
  <c r="H329" i="3"/>
  <c r="G329" i="3"/>
  <c r="D329" i="3"/>
  <c r="C329" i="3"/>
  <c r="B329" i="3"/>
  <c r="I328" i="3"/>
  <c r="H328" i="3"/>
  <c r="G328" i="3"/>
  <c r="D328" i="3"/>
  <c r="C328" i="3"/>
  <c r="B328" i="3"/>
  <c r="I327" i="3"/>
  <c r="H327" i="3"/>
  <c r="G327" i="3"/>
  <c r="D327" i="3"/>
  <c r="C327" i="3"/>
  <c r="B327" i="3"/>
  <c r="I326" i="3"/>
  <c r="H326" i="3"/>
  <c r="G326" i="3"/>
  <c r="D326" i="3"/>
  <c r="C326" i="3"/>
  <c r="B326" i="3"/>
  <c r="I325" i="3"/>
  <c r="H325" i="3"/>
  <c r="G325" i="3"/>
  <c r="D325" i="3"/>
  <c r="C325" i="3"/>
  <c r="B325" i="3"/>
  <c r="I324" i="3"/>
  <c r="H324" i="3"/>
  <c r="G324" i="3"/>
  <c r="D324" i="3"/>
  <c r="C324" i="3"/>
  <c r="B324" i="3"/>
  <c r="I323" i="3"/>
  <c r="H323" i="3"/>
  <c r="G323" i="3"/>
  <c r="D323" i="3"/>
  <c r="C323" i="3"/>
  <c r="B323" i="3"/>
  <c r="I322" i="3"/>
  <c r="H322" i="3"/>
  <c r="G322" i="3"/>
  <c r="D322" i="3"/>
  <c r="C322" i="3"/>
  <c r="B322" i="3"/>
  <c r="I321" i="3"/>
  <c r="H321" i="3"/>
  <c r="G321" i="3"/>
  <c r="D321" i="3"/>
  <c r="C321" i="3"/>
  <c r="B321" i="3"/>
  <c r="I320" i="3"/>
  <c r="H320" i="3"/>
  <c r="G320" i="3"/>
  <c r="D320" i="3"/>
  <c r="C320" i="3"/>
  <c r="B320" i="3"/>
  <c r="I319" i="3"/>
  <c r="H319" i="3"/>
  <c r="G319" i="3"/>
  <c r="D319" i="3"/>
  <c r="C319" i="3"/>
  <c r="B319" i="3"/>
  <c r="I318" i="3"/>
  <c r="H318" i="3"/>
  <c r="G318" i="3"/>
  <c r="D318" i="3"/>
  <c r="C318" i="3"/>
  <c r="B318" i="3"/>
  <c r="I317" i="3"/>
  <c r="H317" i="3"/>
  <c r="G317" i="3"/>
  <c r="D317" i="3"/>
  <c r="C317" i="3"/>
  <c r="B317" i="3"/>
  <c r="I316" i="3"/>
  <c r="H316" i="3"/>
  <c r="G316" i="3"/>
  <c r="D316" i="3"/>
  <c r="C316" i="3"/>
  <c r="B316" i="3"/>
  <c r="I315" i="3"/>
  <c r="H315" i="3"/>
  <c r="G315" i="3"/>
  <c r="D315" i="3"/>
  <c r="C315" i="3"/>
  <c r="B315" i="3"/>
  <c r="I314" i="3"/>
  <c r="H314" i="3"/>
  <c r="G314" i="3"/>
  <c r="D314" i="3"/>
  <c r="C314" i="3"/>
  <c r="B314" i="3"/>
  <c r="I313" i="3"/>
  <c r="H313" i="3"/>
  <c r="G313" i="3"/>
  <c r="D313" i="3"/>
  <c r="C313" i="3"/>
  <c r="B313" i="3"/>
  <c r="I312" i="3"/>
  <c r="H312" i="3"/>
  <c r="G312" i="3"/>
  <c r="D312" i="3"/>
  <c r="C312" i="3"/>
  <c r="B312" i="3"/>
  <c r="I311" i="3"/>
  <c r="H311" i="3"/>
  <c r="G311" i="3"/>
  <c r="D311" i="3"/>
  <c r="C311" i="3"/>
  <c r="B311" i="3"/>
  <c r="I310" i="3"/>
  <c r="H310" i="3"/>
  <c r="G310" i="3"/>
  <c r="D310" i="3"/>
  <c r="C310" i="3"/>
  <c r="B310" i="3"/>
  <c r="I309" i="3"/>
  <c r="H309" i="3"/>
  <c r="G309" i="3"/>
  <c r="D309" i="3"/>
  <c r="C309" i="3"/>
  <c r="B309" i="3"/>
  <c r="I308" i="3"/>
  <c r="H308" i="3"/>
  <c r="G308" i="3"/>
  <c r="D308" i="3"/>
  <c r="C308" i="3"/>
  <c r="B308" i="3"/>
  <c r="I307" i="3"/>
  <c r="H307" i="3"/>
  <c r="G307" i="3"/>
  <c r="D307" i="3"/>
  <c r="C307" i="3"/>
  <c r="B307" i="3"/>
  <c r="I306" i="3"/>
  <c r="H306" i="3"/>
  <c r="G306" i="3"/>
  <c r="D306" i="3"/>
  <c r="C306" i="3"/>
  <c r="B306" i="3"/>
  <c r="I305" i="3"/>
  <c r="H305" i="3"/>
  <c r="G305" i="3"/>
  <c r="D305" i="3"/>
  <c r="C305" i="3"/>
  <c r="B305" i="3"/>
  <c r="I304" i="3"/>
  <c r="H304" i="3"/>
  <c r="G304" i="3"/>
  <c r="D304" i="3"/>
  <c r="C304" i="3"/>
  <c r="B304" i="3"/>
  <c r="I303" i="3"/>
  <c r="H303" i="3"/>
  <c r="G303" i="3"/>
  <c r="D303" i="3"/>
  <c r="C303" i="3"/>
  <c r="B303" i="3"/>
  <c r="I302" i="3"/>
  <c r="H302" i="3"/>
  <c r="G302" i="3"/>
  <c r="D302" i="3"/>
  <c r="C302" i="3"/>
  <c r="B302" i="3"/>
  <c r="I301" i="3"/>
  <c r="H301" i="3"/>
  <c r="G301" i="3"/>
  <c r="D301" i="3"/>
  <c r="C301" i="3"/>
  <c r="B301" i="3"/>
  <c r="I300" i="3"/>
  <c r="H300" i="3"/>
  <c r="G300" i="3"/>
  <c r="D300" i="3"/>
  <c r="C300" i="3"/>
  <c r="B300" i="3"/>
  <c r="I299" i="3"/>
  <c r="H299" i="3"/>
  <c r="G299" i="3"/>
  <c r="D299" i="3"/>
  <c r="C299" i="3"/>
  <c r="B299" i="3"/>
  <c r="I298" i="3"/>
  <c r="H298" i="3"/>
  <c r="G298" i="3"/>
  <c r="D298" i="3"/>
  <c r="C298" i="3"/>
  <c r="B298" i="3"/>
  <c r="I297" i="3"/>
  <c r="H297" i="3"/>
  <c r="G297" i="3"/>
  <c r="D297" i="3"/>
  <c r="C297" i="3"/>
  <c r="B297" i="3"/>
  <c r="I296" i="3"/>
  <c r="H296" i="3"/>
  <c r="G296" i="3"/>
  <c r="D296" i="3"/>
  <c r="C296" i="3"/>
  <c r="B296" i="3"/>
  <c r="I295" i="3"/>
  <c r="H295" i="3"/>
  <c r="G295" i="3"/>
  <c r="D295" i="3"/>
  <c r="C295" i="3"/>
  <c r="B295" i="3"/>
  <c r="I294" i="3"/>
  <c r="H294" i="3"/>
  <c r="G294" i="3"/>
  <c r="D294" i="3"/>
  <c r="C294" i="3"/>
  <c r="B294" i="3"/>
  <c r="I293" i="3"/>
  <c r="H293" i="3"/>
  <c r="G293" i="3"/>
  <c r="D293" i="3"/>
  <c r="C293" i="3"/>
  <c r="B293" i="3"/>
  <c r="I292" i="3"/>
  <c r="H292" i="3"/>
  <c r="G292" i="3"/>
  <c r="D292" i="3"/>
  <c r="C292" i="3"/>
  <c r="B292" i="3"/>
  <c r="I291" i="3"/>
  <c r="H291" i="3"/>
  <c r="G291" i="3"/>
  <c r="D291" i="3"/>
  <c r="C291" i="3"/>
  <c r="B291" i="3"/>
  <c r="I290" i="3"/>
  <c r="H290" i="3"/>
  <c r="G290" i="3"/>
  <c r="D290" i="3"/>
  <c r="C290" i="3"/>
  <c r="B290" i="3"/>
  <c r="I289" i="3"/>
  <c r="H289" i="3"/>
  <c r="G289" i="3"/>
  <c r="D289" i="3"/>
  <c r="C289" i="3"/>
  <c r="B289" i="3"/>
  <c r="I288" i="3"/>
  <c r="H288" i="3"/>
  <c r="G288" i="3"/>
  <c r="D288" i="3"/>
  <c r="C288" i="3"/>
  <c r="B288" i="3"/>
  <c r="I287" i="3"/>
  <c r="H287" i="3"/>
  <c r="G287" i="3"/>
  <c r="D287" i="3"/>
  <c r="C287" i="3"/>
  <c r="B287" i="3"/>
  <c r="I286" i="3"/>
  <c r="H286" i="3"/>
  <c r="G286" i="3"/>
  <c r="D286" i="3"/>
  <c r="C286" i="3"/>
  <c r="B286" i="3"/>
  <c r="I285" i="3"/>
  <c r="H285" i="3"/>
  <c r="G285" i="3"/>
  <c r="D285" i="3"/>
  <c r="C285" i="3"/>
  <c r="B285" i="3"/>
  <c r="I284" i="3"/>
  <c r="H284" i="3"/>
  <c r="G284" i="3"/>
  <c r="D284" i="3"/>
  <c r="C284" i="3"/>
  <c r="B284" i="3"/>
  <c r="I283" i="3"/>
  <c r="H283" i="3"/>
  <c r="G283" i="3"/>
  <c r="D283" i="3"/>
  <c r="C283" i="3"/>
  <c r="B283" i="3"/>
  <c r="I282" i="3"/>
  <c r="H282" i="3"/>
  <c r="G282" i="3"/>
  <c r="D282" i="3"/>
  <c r="C282" i="3"/>
  <c r="B282" i="3"/>
  <c r="I281" i="3"/>
  <c r="H281" i="3"/>
  <c r="G281" i="3"/>
  <c r="D281" i="3"/>
  <c r="C281" i="3"/>
  <c r="B281" i="3"/>
  <c r="I280" i="3"/>
  <c r="H280" i="3"/>
  <c r="G280" i="3"/>
  <c r="D280" i="3"/>
  <c r="C280" i="3"/>
  <c r="B280" i="3"/>
  <c r="I279" i="3"/>
  <c r="H279" i="3"/>
  <c r="G279" i="3"/>
  <c r="D279" i="3"/>
  <c r="C279" i="3"/>
  <c r="B279" i="3"/>
  <c r="I278" i="3"/>
  <c r="H278" i="3"/>
  <c r="G278" i="3"/>
  <c r="D278" i="3"/>
  <c r="C278" i="3"/>
  <c r="B278" i="3"/>
  <c r="I277" i="3"/>
  <c r="H277" i="3"/>
  <c r="G277" i="3"/>
  <c r="D277" i="3"/>
  <c r="C277" i="3"/>
  <c r="B277" i="3"/>
  <c r="I276" i="3"/>
  <c r="H276" i="3"/>
  <c r="G276" i="3"/>
  <c r="D276" i="3"/>
  <c r="C276" i="3"/>
  <c r="B276" i="3"/>
  <c r="I275" i="3"/>
  <c r="H275" i="3"/>
  <c r="G275" i="3"/>
  <c r="D275" i="3"/>
  <c r="C275" i="3"/>
  <c r="B275" i="3"/>
  <c r="I274" i="3"/>
  <c r="H274" i="3"/>
  <c r="G274" i="3"/>
  <c r="D274" i="3"/>
  <c r="C274" i="3"/>
  <c r="B274" i="3"/>
  <c r="I273" i="3"/>
  <c r="H273" i="3"/>
  <c r="G273" i="3"/>
  <c r="D273" i="3"/>
  <c r="C273" i="3"/>
  <c r="B273" i="3"/>
  <c r="I272" i="3"/>
  <c r="H272" i="3"/>
  <c r="G272" i="3"/>
  <c r="D272" i="3"/>
  <c r="C272" i="3"/>
  <c r="B272" i="3"/>
  <c r="I271" i="3"/>
  <c r="H271" i="3"/>
  <c r="G271" i="3"/>
  <c r="D271" i="3"/>
  <c r="C271" i="3"/>
  <c r="B271" i="3"/>
  <c r="I270" i="3"/>
  <c r="H270" i="3"/>
  <c r="G270" i="3"/>
  <c r="D270" i="3"/>
  <c r="C270" i="3"/>
  <c r="B270" i="3"/>
  <c r="I269" i="3"/>
  <c r="H269" i="3"/>
  <c r="G269" i="3"/>
  <c r="D269" i="3"/>
  <c r="C269" i="3"/>
  <c r="B269" i="3"/>
  <c r="I268" i="3"/>
  <c r="H268" i="3"/>
  <c r="G268" i="3"/>
  <c r="D268" i="3"/>
  <c r="C268" i="3"/>
  <c r="B268" i="3"/>
  <c r="I267" i="3"/>
  <c r="H267" i="3"/>
  <c r="G267" i="3"/>
  <c r="D267" i="3"/>
  <c r="C267" i="3"/>
  <c r="B267" i="3"/>
  <c r="I266" i="3"/>
  <c r="H266" i="3"/>
  <c r="G266" i="3"/>
  <c r="D266" i="3"/>
  <c r="C266" i="3"/>
  <c r="B266" i="3"/>
  <c r="I265" i="3"/>
  <c r="H265" i="3"/>
  <c r="G265" i="3"/>
  <c r="D265" i="3"/>
  <c r="C265" i="3"/>
  <c r="B265" i="3"/>
  <c r="I264" i="3"/>
  <c r="H264" i="3"/>
  <c r="G264" i="3"/>
  <c r="D264" i="3"/>
  <c r="C264" i="3"/>
  <c r="B264" i="3"/>
  <c r="I263" i="3"/>
  <c r="H263" i="3"/>
  <c r="G263" i="3"/>
  <c r="D263" i="3"/>
  <c r="C263" i="3"/>
  <c r="B263" i="3"/>
  <c r="I262" i="3"/>
  <c r="H262" i="3"/>
  <c r="G262" i="3"/>
  <c r="D262" i="3"/>
  <c r="C262" i="3"/>
  <c r="B262" i="3"/>
  <c r="I261" i="3"/>
  <c r="H261" i="3"/>
  <c r="G261" i="3"/>
  <c r="D261" i="3"/>
  <c r="C261" i="3"/>
  <c r="B261" i="3"/>
  <c r="I260" i="3"/>
  <c r="H260" i="3"/>
  <c r="G260" i="3"/>
  <c r="D260" i="3"/>
  <c r="C260" i="3"/>
  <c r="B260" i="3"/>
  <c r="I259" i="3"/>
  <c r="H259" i="3"/>
  <c r="G259" i="3"/>
  <c r="D259" i="3"/>
  <c r="C259" i="3"/>
  <c r="B259" i="3"/>
  <c r="I258" i="3"/>
  <c r="H258" i="3"/>
  <c r="G258" i="3"/>
  <c r="D258" i="3"/>
  <c r="C258" i="3"/>
  <c r="B258" i="3"/>
  <c r="I257" i="3"/>
  <c r="H257" i="3"/>
  <c r="G257" i="3"/>
  <c r="D257" i="3"/>
  <c r="C257" i="3"/>
  <c r="B257" i="3"/>
  <c r="I256" i="3"/>
  <c r="H256" i="3"/>
  <c r="G256" i="3"/>
  <c r="D256" i="3"/>
  <c r="C256" i="3"/>
  <c r="B256" i="3"/>
  <c r="I255" i="3"/>
  <c r="H255" i="3"/>
  <c r="G255" i="3"/>
  <c r="D255" i="3"/>
  <c r="C255" i="3"/>
  <c r="B255" i="3"/>
  <c r="I254" i="3"/>
  <c r="H254" i="3"/>
  <c r="G254" i="3"/>
  <c r="D254" i="3"/>
  <c r="C254" i="3"/>
  <c r="B254" i="3"/>
  <c r="I253" i="3"/>
  <c r="H253" i="3"/>
  <c r="G253" i="3"/>
  <c r="D253" i="3"/>
  <c r="C253" i="3"/>
  <c r="B253" i="3"/>
  <c r="I252" i="3"/>
  <c r="H252" i="3"/>
  <c r="G252" i="3"/>
  <c r="D252" i="3"/>
  <c r="C252" i="3"/>
  <c r="B252" i="3"/>
  <c r="I251" i="3"/>
  <c r="H251" i="3"/>
  <c r="G251" i="3"/>
  <c r="D251" i="3"/>
  <c r="C251" i="3"/>
  <c r="B251" i="3"/>
  <c r="I250" i="3"/>
  <c r="H250" i="3"/>
  <c r="G250" i="3"/>
  <c r="D250" i="3"/>
  <c r="C250" i="3"/>
  <c r="B250" i="3"/>
  <c r="I249" i="3"/>
  <c r="H249" i="3"/>
  <c r="G249" i="3"/>
  <c r="D249" i="3"/>
  <c r="C249" i="3"/>
  <c r="B249" i="3"/>
  <c r="I248" i="3"/>
  <c r="H248" i="3"/>
  <c r="G248" i="3"/>
  <c r="D248" i="3"/>
  <c r="C248" i="3"/>
  <c r="B248" i="3"/>
  <c r="I247" i="3"/>
  <c r="H247" i="3"/>
  <c r="G247" i="3"/>
  <c r="D247" i="3"/>
  <c r="C247" i="3"/>
  <c r="B247" i="3"/>
  <c r="I246" i="3"/>
  <c r="H246" i="3"/>
  <c r="G246" i="3"/>
  <c r="D246" i="3"/>
  <c r="C246" i="3"/>
  <c r="B246" i="3"/>
  <c r="I245" i="3"/>
  <c r="H245" i="3"/>
  <c r="G245" i="3"/>
  <c r="D245" i="3"/>
  <c r="C245" i="3"/>
  <c r="B245" i="3"/>
  <c r="I244" i="3"/>
  <c r="H244" i="3"/>
  <c r="G244" i="3"/>
  <c r="D244" i="3"/>
  <c r="C244" i="3"/>
  <c r="B244" i="3"/>
  <c r="I243" i="3"/>
  <c r="H243" i="3"/>
  <c r="G243" i="3"/>
  <c r="D243" i="3"/>
  <c r="C243" i="3"/>
  <c r="B243" i="3"/>
  <c r="I242" i="3"/>
  <c r="H242" i="3"/>
  <c r="G242" i="3"/>
  <c r="D242" i="3"/>
  <c r="C242" i="3"/>
  <c r="B242" i="3"/>
  <c r="I241" i="3"/>
  <c r="H241" i="3"/>
  <c r="G241" i="3"/>
  <c r="D241" i="3"/>
  <c r="C241" i="3"/>
  <c r="B241" i="3"/>
  <c r="I240" i="3"/>
  <c r="H240" i="3"/>
  <c r="G240" i="3"/>
  <c r="D240" i="3"/>
  <c r="C240" i="3"/>
  <c r="B240" i="3"/>
  <c r="I239" i="3"/>
  <c r="H239" i="3"/>
  <c r="G239" i="3"/>
  <c r="D239" i="3"/>
  <c r="C239" i="3"/>
  <c r="B239" i="3"/>
  <c r="I238" i="3"/>
  <c r="H238" i="3"/>
  <c r="G238" i="3"/>
  <c r="D238" i="3"/>
  <c r="C238" i="3"/>
  <c r="B238" i="3"/>
  <c r="I237" i="3"/>
  <c r="H237" i="3"/>
  <c r="G237" i="3"/>
  <c r="D237" i="3"/>
  <c r="C237" i="3"/>
  <c r="B237" i="3"/>
  <c r="I236" i="3"/>
  <c r="H236" i="3"/>
  <c r="G236" i="3"/>
  <c r="D236" i="3"/>
  <c r="C236" i="3"/>
  <c r="B236" i="3"/>
  <c r="I235" i="3"/>
  <c r="H235" i="3"/>
  <c r="G235" i="3"/>
  <c r="D235" i="3"/>
  <c r="C235" i="3"/>
  <c r="B235" i="3"/>
  <c r="I234" i="3"/>
  <c r="H234" i="3"/>
  <c r="G234" i="3"/>
  <c r="D234" i="3"/>
  <c r="C234" i="3"/>
  <c r="B234" i="3"/>
  <c r="I233" i="3"/>
  <c r="H233" i="3"/>
  <c r="G233" i="3"/>
  <c r="D233" i="3"/>
  <c r="C233" i="3"/>
  <c r="B233" i="3"/>
  <c r="I232" i="3"/>
  <c r="H232" i="3"/>
  <c r="G232" i="3"/>
  <c r="D232" i="3"/>
  <c r="C232" i="3"/>
  <c r="B232" i="3"/>
  <c r="I231" i="3"/>
  <c r="H231" i="3"/>
  <c r="G231" i="3"/>
  <c r="D231" i="3"/>
  <c r="C231" i="3"/>
  <c r="B231" i="3"/>
  <c r="I230" i="3"/>
  <c r="H230" i="3"/>
  <c r="G230" i="3"/>
  <c r="D230" i="3"/>
  <c r="C230" i="3"/>
  <c r="B230" i="3"/>
  <c r="I229" i="3"/>
  <c r="H229" i="3"/>
  <c r="G229" i="3"/>
  <c r="D229" i="3"/>
  <c r="C229" i="3"/>
  <c r="B229" i="3"/>
  <c r="I228" i="3"/>
  <c r="H228" i="3"/>
  <c r="G228" i="3"/>
  <c r="D228" i="3"/>
  <c r="C228" i="3"/>
  <c r="B228" i="3"/>
  <c r="I227" i="3"/>
  <c r="H227" i="3"/>
  <c r="G227" i="3"/>
  <c r="D227" i="3"/>
  <c r="C227" i="3"/>
  <c r="B227" i="3"/>
  <c r="I226" i="3"/>
  <c r="H226" i="3"/>
  <c r="G226" i="3"/>
  <c r="D226" i="3"/>
  <c r="C226" i="3"/>
  <c r="B226" i="3"/>
  <c r="I225" i="3"/>
  <c r="H225" i="3"/>
  <c r="G225" i="3"/>
  <c r="D225" i="3"/>
  <c r="C225" i="3"/>
  <c r="B225" i="3"/>
  <c r="I224" i="3"/>
  <c r="H224" i="3"/>
  <c r="G224" i="3"/>
  <c r="D224" i="3"/>
  <c r="C224" i="3"/>
  <c r="B224" i="3"/>
  <c r="I223" i="3"/>
  <c r="H223" i="3"/>
  <c r="G223" i="3"/>
  <c r="D223" i="3"/>
  <c r="C223" i="3"/>
  <c r="B223" i="3"/>
  <c r="I222" i="3"/>
  <c r="H222" i="3"/>
  <c r="G222" i="3"/>
  <c r="D222" i="3"/>
  <c r="C222" i="3"/>
  <c r="B222" i="3"/>
  <c r="I221" i="3"/>
  <c r="H221" i="3"/>
  <c r="G221" i="3"/>
  <c r="D221" i="3"/>
  <c r="C221" i="3"/>
  <c r="B221" i="3"/>
  <c r="I220" i="3"/>
  <c r="H220" i="3"/>
  <c r="G220" i="3"/>
  <c r="D220" i="3"/>
  <c r="C220" i="3"/>
  <c r="B220" i="3"/>
  <c r="I219" i="3"/>
  <c r="H219" i="3"/>
  <c r="G219" i="3"/>
  <c r="D219" i="3"/>
  <c r="C219" i="3"/>
  <c r="B219" i="3"/>
  <c r="I218" i="3"/>
  <c r="H218" i="3"/>
  <c r="G218" i="3"/>
  <c r="D218" i="3"/>
  <c r="C218" i="3"/>
  <c r="B218" i="3"/>
  <c r="I217" i="3"/>
  <c r="H217" i="3"/>
  <c r="G217" i="3"/>
  <c r="D217" i="3"/>
  <c r="C217" i="3"/>
  <c r="B217" i="3"/>
  <c r="I216" i="3"/>
  <c r="H216" i="3"/>
  <c r="G216" i="3"/>
  <c r="D216" i="3"/>
  <c r="C216" i="3"/>
  <c r="B216" i="3"/>
  <c r="I215" i="3"/>
  <c r="H215" i="3"/>
  <c r="G215" i="3"/>
  <c r="D215" i="3"/>
  <c r="C215" i="3"/>
  <c r="B215" i="3"/>
  <c r="I214" i="3"/>
  <c r="H214" i="3"/>
  <c r="G214" i="3"/>
  <c r="D214" i="3"/>
  <c r="C214" i="3"/>
  <c r="B214" i="3"/>
  <c r="I213" i="3"/>
  <c r="H213" i="3"/>
  <c r="G213" i="3"/>
  <c r="D213" i="3"/>
  <c r="C213" i="3"/>
  <c r="B213" i="3"/>
  <c r="I212" i="3"/>
  <c r="H212" i="3"/>
  <c r="G212" i="3"/>
  <c r="D212" i="3"/>
  <c r="C212" i="3"/>
  <c r="B212" i="3"/>
  <c r="I211" i="3"/>
  <c r="H211" i="3"/>
  <c r="G211" i="3"/>
  <c r="D211" i="3"/>
  <c r="C211" i="3"/>
  <c r="B211" i="3"/>
  <c r="I210" i="3"/>
  <c r="H210" i="3"/>
  <c r="G210" i="3"/>
  <c r="D210" i="3"/>
  <c r="C210" i="3"/>
  <c r="B210" i="3"/>
  <c r="I209" i="3"/>
  <c r="H209" i="3"/>
  <c r="G209" i="3"/>
  <c r="D209" i="3"/>
  <c r="C209" i="3"/>
  <c r="B209" i="3"/>
  <c r="I208" i="3"/>
  <c r="H208" i="3"/>
  <c r="G208" i="3"/>
  <c r="D208" i="3"/>
  <c r="C208" i="3"/>
  <c r="B208" i="3"/>
  <c r="I207" i="3"/>
  <c r="H207" i="3"/>
  <c r="G207" i="3"/>
  <c r="D207" i="3"/>
  <c r="C207" i="3"/>
  <c r="B207" i="3"/>
  <c r="I206" i="3"/>
  <c r="H206" i="3"/>
  <c r="G206" i="3"/>
  <c r="D206" i="3"/>
  <c r="C206" i="3"/>
  <c r="B206" i="3"/>
  <c r="I205" i="3"/>
  <c r="H205" i="3"/>
  <c r="G205" i="3"/>
  <c r="D205" i="3"/>
  <c r="C205" i="3"/>
  <c r="B205" i="3"/>
  <c r="I204" i="3"/>
  <c r="H204" i="3"/>
  <c r="G204" i="3"/>
  <c r="D204" i="3"/>
  <c r="C204" i="3"/>
  <c r="B204" i="3"/>
  <c r="I203" i="3"/>
  <c r="H203" i="3"/>
  <c r="G203" i="3"/>
  <c r="D203" i="3"/>
  <c r="C203" i="3"/>
  <c r="B203" i="3"/>
  <c r="I202" i="3"/>
  <c r="H202" i="3"/>
  <c r="G202" i="3"/>
  <c r="D202" i="3"/>
  <c r="C202" i="3"/>
  <c r="B202" i="3"/>
  <c r="I201" i="3"/>
  <c r="H201" i="3"/>
  <c r="G201" i="3"/>
  <c r="D201" i="3"/>
  <c r="C201" i="3"/>
  <c r="B201" i="3"/>
  <c r="I200" i="3"/>
  <c r="H200" i="3"/>
  <c r="G200" i="3"/>
  <c r="D200" i="3"/>
  <c r="C200" i="3"/>
  <c r="B200" i="3"/>
  <c r="I199" i="3"/>
  <c r="H199" i="3"/>
  <c r="G199" i="3"/>
  <c r="D199" i="3"/>
  <c r="C199" i="3"/>
  <c r="B199" i="3"/>
  <c r="I198" i="3"/>
  <c r="H198" i="3"/>
  <c r="G198" i="3"/>
  <c r="D198" i="3"/>
  <c r="C198" i="3"/>
  <c r="B198" i="3"/>
  <c r="I197" i="3"/>
  <c r="H197" i="3"/>
  <c r="G197" i="3"/>
  <c r="D197" i="3"/>
  <c r="C197" i="3"/>
  <c r="B197" i="3"/>
  <c r="I196" i="3"/>
  <c r="H196" i="3"/>
  <c r="G196" i="3"/>
  <c r="D196" i="3"/>
  <c r="C196" i="3"/>
  <c r="B196" i="3"/>
  <c r="I195" i="3"/>
  <c r="H195" i="3"/>
  <c r="G195" i="3"/>
  <c r="D195" i="3"/>
  <c r="C195" i="3"/>
  <c r="B195" i="3"/>
  <c r="I194" i="3"/>
  <c r="H194" i="3"/>
  <c r="G194" i="3"/>
  <c r="D194" i="3"/>
  <c r="C194" i="3"/>
  <c r="B194" i="3"/>
  <c r="I193" i="3"/>
  <c r="H193" i="3"/>
  <c r="G193" i="3"/>
  <c r="D193" i="3"/>
  <c r="C193" i="3"/>
  <c r="B193" i="3"/>
  <c r="I192" i="3"/>
  <c r="H192" i="3"/>
  <c r="G192" i="3"/>
  <c r="D192" i="3"/>
  <c r="C192" i="3"/>
  <c r="B192" i="3"/>
  <c r="I191" i="3"/>
  <c r="H191" i="3"/>
  <c r="G191" i="3"/>
  <c r="D191" i="3"/>
  <c r="C191" i="3"/>
  <c r="B191" i="3"/>
  <c r="I190" i="3"/>
  <c r="H190" i="3"/>
  <c r="G190" i="3"/>
  <c r="D190" i="3"/>
  <c r="C190" i="3"/>
  <c r="B190" i="3"/>
  <c r="I189" i="3"/>
  <c r="H189" i="3"/>
  <c r="G189" i="3"/>
  <c r="D189" i="3"/>
  <c r="C189" i="3"/>
  <c r="B189" i="3"/>
  <c r="I188" i="3"/>
  <c r="H188" i="3"/>
  <c r="G188" i="3"/>
  <c r="D188" i="3"/>
  <c r="C188" i="3"/>
  <c r="B188" i="3"/>
  <c r="I187" i="3"/>
  <c r="H187" i="3"/>
  <c r="G187" i="3"/>
  <c r="D187" i="3"/>
  <c r="C187" i="3"/>
  <c r="B187" i="3"/>
  <c r="I186" i="3"/>
  <c r="H186" i="3"/>
  <c r="G186" i="3"/>
  <c r="D186" i="3"/>
  <c r="C186" i="3"/>
  <c r="B186" i="3"/>
  <c r="I185" i="3"/>
  <c r="H185" i="3"/>
  <c r="G185" i="3"/>
  <c r="D185" i="3"/>
  <c r="C185" i="3"/>
  <c r="B185" i="3"/>
  <c r="I184" i="3"/>
  <c r="H184" i="3"/>
  <c r="G184" i="3"/>
  <c r="D184" i="3"/>
  <c r="C184" i="3"/>
  <c r="B184" i="3"/>
  <c r="I183" i="3"/>
  <c r="H183" i="3"/>
  <c r="G183" i="3"/>
  <c r="D183" i="3"/>
  <c r="C183" i="3"/>
  <c r="B183" i="3"/>
  <c r="I182" i="3"/>
  <c r="H182" i="3"/>
  <c r="G182" i="3"/>
  <c r="D182" i="3"/>
  <c r="C182" i="3"/>
  <c r="B182" i="3"/>
  <c r="I181" i="3"/>
  <c r="H181" i="3"/>
  <c r="G181" i="3"/>
  <c r="D181" i="3"/>
  <c r="C181" i="3"/>
  <c r="B181" i="3"/>
  <c r="I180" i="3"/>
  <c r="H180" i="3"/>
  <c r="G180" i="3"/>
  <c r="D180" i="3"/>
  <c r="C180" i="3"/>
  <c r="B180" i="3"/>
  <c r="I179" i="3"/>
  <c r="H179" i="3"/>
  <c r="G179" i="3"/>
  <c r="D179" i="3"/>
  <c r="C179" i="3"/>
  <c r="B179" i="3"/>
  <c r="I178" i="3"/>
  <c r="H178" i="3"/>
  <c r="G178" i="3"/>
  <c r="D178" i="3"/>
  <c r="C178" i="3"/>
  <c r="B178" i="3"/>
  <c r="I177" i="3"/>
  <c r="H177" i="3"/>
  <c r="G177" i="3"/>
  <c r="D177" i="3"/>
  <c r="C177" i="3"/>
  <c r="B177" i="3"/>
  <c r="I176" i="3"/>
  <c r="H176" i="3"/>
  <c r="G176" i="3"/>
  <c r="D176" i="3"/>
  <c r="C176" i="3"/>
  <c r="B176" i="3"/>
  <c r="I175" i="3"/>
  <c r="H175" i="3"/>
  <c r="G175" i="3"/>
  <c r="D175" i="3"/>
  <c r="C175" i="3"/>
  <c r="B175" i="3"/>
  <c r="I174" i="3"/>
  <c r="H174" i="3"/>
  <c r="G174" i="3"/>
  <c r="D174" i="3"/>
  <c r="C174" i="3"/>
  <c r="B174" i="3"/>
  <c r="I173" i="3"/>
  <c r="H173" i="3"/>
  <c r="G173" i="3"/>
  <c r="D173" i="3"/>
  <c r="C173" i="3"/>
  <c r="B173" i="3"/>
  <c r="I172" i="3"/>
  <c r="H172" i="3"/>
  <c r="G172" i="3"/>
  <c r="D172" i="3"/>
  <c r="C172" i="3"/>
  <c r="B172" i="3"/>
  <c r="I171" i="3"/>
  <c r="H171" i="3"/>
  <c r="G171" i="3"/>
  <c r="D171" i="3"/>
  <c r="C171" i="3"/>
  <c r="B171" i="3"/>
  <c r="I170" i="3"/>
  <c r="H170" i="3"/>
  <c r="G170" i="3"/>
  <c r="D170" i="3"/>
  <c r="C170" i="3"/>
  <c r="B170" i="3"/>
  <c r="I169" i="3"/>
  <c r="H169" i="3"/>
  <c r="G169" i="3"/>
  <c r="D169" i="3"/>
  <c r="C169" i="3"/>
  <c r="B169" i="3"/>
  <c r="I168" i="3"/>
  <c r="H168" i="3"/>
  <c r="G168" i="3"/>
  <c r="D168" i="3"/>
  <c r="C168" i="3"/>
  <c r="B168" i="3"/>
  <c r="I167" i="3"/>
  <c r="H167" i="3"/>
  <c r="G167" i="3"/>
  <c r="D167" i="3"/>
  <c r="C167" i="3"/>
  <c r="B167" i="3"/>
  <c r="I166" i="3"/>
  <c r="H166" i="3"/>
  <c r="G166" i="3"/>
  <c r="D166" i="3"/>
  <c r="C166" i="3"/>
  <c r="B166" i="3"/>
  <c r="I165" i="3"/>
  <c r="H165" i="3"/>
  <c r="G165" i="3"/>
  <c r="D165" i="3"/>
  <c r="C165" i="3"/>
  <c r="B165" i="3"/>
  <c r="I164" i="3"/>
  <c r="H164" i="3"/>
  <c r="G164" i="3"/>
  <c r="D164" i="3"/>
  <c r="C164" i="3"/>
  <c r="B164" i="3"/>
  <c r="I163" i="3"/>
  <c r="H163" i="3"/>
  <c r="G163" i="3"/>
  <c r="D163" i="3"/>
  <c r="C163" i="3"/>
  <c r="B163" i="3"/>
  <c r="I162" i="3"/>
  <c r="H162" i="3"/>
  <c r="G162" i="3"/>
  <c r="D162" i="3"/>
  <c r="C162" i="3"/>
  <c r="B162" i="3"/>
  <c r="I161" i="3"/>
  <c r="H161" i="3"/>
  <c r="G161" i="3"/>
  <c r="D161" i="3"/>
  <c r="C161" i="3"/>
  <c r="B161" i="3"/>
  <c r="I160" i="3"/>
  <c r="H160" i="3"/>
  <c r="G160" i="3"/>
  <c r="D160" i="3"/>
  <c r="C160" i="3"/>
  <c r="B160" i="3"/>
  <c r="I159" i="3"/>
  <c r="H159" i="3"/>
  <c r="G159" i="3"/>
  <c r="D159" i="3"/>
  <c r="C159" i="3"/>
  <c r="B159" i="3"/>
  <c r="I158" i="3"/>
  <c r="H158" i="3"/>
  <c r="G158" i="3"/>
  <c r="D158" i="3"/>
  <c r="C158" i="3"/>
  <c r="B158" i="3"/>
  <c r="I157" i="3"/>
  <c r="H157" i="3"/>
  <c r="G157" i="3"/>
  <c r="D157" i="3"/>
  <c r="C157" i="3"/>
  <c r="B157" i="3"/>
  <c r="I156" i="3"/>
  <c r="H156" i="3"/>
  <c r="G156" i="3"/>
  <c r="D156" i="3"/>
  <c r="C156" i="3"/>
  <c r="B156" i="3"/>
  <c r="I155" i="3"/>
  <c r="H155" i="3"/>
  <c r="G155" i="3"/>
  <c r="D155" i="3"/>
  <c r="C155" i="3"/>
  <c r="B155" i="3"/>
  <c r="I154" i="3"/>
  <c r="H154" i="3"/>
  <c r="G154" i="3"/>
  <c r="D154" i="3"/>
  <c r="C154" i="3"/>
  <c r="B154" i="3"/>
  <c r="I153" i="3"/>
  <c r="H153" i="3"/>
  <c r="G153" i="3"/>
  <c r="D153" i="3"/>
  <c r="C153" i="3"/>
  <c r="B153" i="3"/>
  <c r="I152" i="3"/>
  <c r="H152" i="3"/>
  <c r="G152" i="3"/>
  <c r="D152" i="3"/>
  <c r="C152" i="3"/>
  <c r="B152" i="3"/>
  <c r="I151" i="3"/>
  <c r="H151" i="3"/>
  <c r="G151" i="3"/>
  <c r="D151" i="3"/>
  <c r="C151" i="3"/>
  <c r="B151" i="3"/>
  <c r="I150" i="3"/>
  <c r="H150" i="3"/>
  <c r="G150" i="3"/>
  <c r="D150" i="3"/>
  <c r="C150" i="3"/>
  <c r="B150" i="3"/>
  <c r="I149" i="3"/>
  <c r="H149" i="3"/>
  <c r="G149" i="3"/>
  <c r="D149" i="3"/>
  <c r="C149" i="3"/>
  <c r="B149" i="3"/>
  <c r="I148" i="3"/>
  <c r="H148" i="3"/>
  <c r="G148" i="3"/>
  <c r="D148" i="3"/>
  <c r="C148" i="3"/>
  <c r="B148" i="3"/>
  <c r="I147" i="3"/>
  <c r="H147" i="3"/>
  <c r="G147" i="3"/>
  <c r="D147" i="3"/>
  <c r="C147" i="3"/>
  <c r="B147" i="3"/>
  <c r="I146" i="3"/>
  <c r="H146" i="3"/>
  <c r="G146" i="3"/>
  <c r="D146" i="3"/>
  <c r="C146" i="3"/>
  <c r="B146" i="3"/>
  <c r="I145" i="3"/>
  <c r="H145" i="3"/>
  <c r="G145" i="3"/>
  <c r="D145" i="3"/>
  <c r="C145" i="3"/>
  <c r="B145" i="3"/>
  <c r="I144" i="3"/>
  <c r="H144" i="3"/>
  <c r="G144" i="3"/>
  <c r="D144" i="3"/>
  <c r="C144" i="3"/>
  <c r="B144" i="3"/>
  <c r="I143" i="3"/>
  <c r="H143" i="3"/>
  <c r="G143" i="3"/>
  <c r="D143" i="3"/>
  <c r="C143" i="3"/>
  <c r="B143" i="3"/>
  <c r="I142" i="3"/>
  <c r="H142" i="3"/>
  <c r="G142" i="3"/>
  <c r="D142" i="3"/>
  <c r="C142" i="3"/>
  <c r="B142" i="3"/>
  <c r="I141" i="3"/>
  <c r="H141" i="3"/>
  <c r="G141" i="3"/>
  <c r="D141" i="3"/>
  <c r="C141" i="3"/>
  <c r="B141" i="3"/>
  <c r="I140" i="3"/>
  <c r="H140" i="3"/>
  <c r="G140" i="3"/>
  <c r="D140" i="3"/>
  <c r="C140" i="3"/>
  <c r="B140" i="3"/>
  <c r="I139" i="3"/>
  <c r="H139" i="3"/>
  <c r="G139" i="3"/>
  <c r="D139" i="3"/>
  <c r="C139" i="3"/>
  <c r="B139" i="3"/>
  <c r="I138" i="3"/>
  <c r="H138" i="3"/>
  <c r="G138" i="3"/>
  <c r="D138" i="3"/>
  <c r="C138" i="3"/>
  <c r="B138" i="3"/>
  <c r="I137" i="3"/>
  <c r="H137" i="3"/>
  <c r="G137" i="3"/>
  <c r="D137" i="3"/>
  <c r="C137" i="3"/>
  <c r="B137" i="3"/>
  <c r="I136" i="3"/>
  <c r="H136" i="3"/>
  <c r="G136" i="3"/>
  <c r="D136" i="3"/>
  <c r="C136" i="3"/>
  <c r="B136" i="3"/>
  <c r="I135" i="3"/>
  <c r="H135" i="3"/>
  <c r="G135" i="3"/>
  <c r="D135" i="3"/>
  <c r="C135" i="3"/>
  <c r="B135" i="3"/>
  <c r="I134" i="3"/>
  <c r="H134" i="3"/>
  <c r="G134" i="3"/>
  <c r="D134" i="3"/>
  <c r="C134" i="3"/>
  <c r="B134" i="3"/>
  <c r="I133" i="3"/>
  <c r="H133" i="3"/>
  <c r="G133" i="3"/>
  <c r="D133" i="3"/>
  <c r="C133" i="3"/>
  <c r="B133" i="3"/>
  <c r="I132" i="3"/>
  <c r="H132" i="3"/>
  <c r="G132" i="3"/>
  <c r="D132" i="3"/>
  <c r="C132" i="3"/>
  <c r="B132" i="3"/>
  <c r="I131" i="3"/>
  <c r="H131" i="3"/>
  <c r="G131" i="3"/>
  <c r="D131" i="3"/>
  <c r="C131" i="3"/>
  <c r="B131" i="3"/>
  <c r="I130" i="3"/>
  <c r="H130" i="3"/>
  <c r="G130" i="3"/>
  <c r="D130" i="3"/>
  <c r="C130" i="3"/>
  <c r="B130" i="3"/>
  <c r="I129" i="3"/>
  <c r="H129" i="3"/>
  <c r="G129" i="3"/>
  <c r="D129" i="3"/>
  <c r="C129" i="3"/>
  <c r="B129" i="3"/>
  <c r="I128" i="3"/>
  <c r="H128" i="3"/>
  <c r="G128" i="3"/>
  <c r="D128" i="3"/>
  <c r="C128" i="3"/>
  <c r="B128" i="3"/>
  <c r="I127" i="3"/>
  <c r="H127" i="3"/>
  <c r="G127" i="3"/>
  <c r="D127" i="3"/>
  <c r="C127" i="3"/>
  <c r="B127" i="3"/>
  <c r="I126" i="3"/>
  <c r="H126" i="3"/>
  <c r="G126" i="3"/>
  <c r="D126" i="3"/>
  <c r="C126" i="3"/>
  <c r="B126" i="3"/>
  <c r="I125" i="3"/>
  <c r="H125" i="3"/>
  <c r="G125" i="3"/>
  <c r="D125" i="3"/>
  <c r="C125" i="3"/>
  <c r="B125" i="3"/>
  <c r="I124" i="3"/>
  <c r="H124" i="3"/>
  <c r="G124" i="3"/>
  <c r="D124" i="3"/>
  <c r="C124" i="3"/>
  <c r="B124" i="3"/>
  <c r="I123" i="3"/>
  <c r="H123" i="3"/>
  <c r="G123" i="3"/>
  <c r="D123" i="3"/>
  <c r="C123" i="3"/>
  <c r="B123" i="3"/>
  <c r="I122" i="3"/>
  <c r="H122" i="3"/>
  <c r="G122" i="3"/>
  <c r="D122" i="3"/>
  <c r="C122" i="3"/>
  <c r="B122" i="3"/>
  <c r="I121" i="3"/>
  <c r="H121" i="3"/>
  <c r="G121" i="3"/>
  <c r="D121" i="3"/>
  <c r="C121" i="3"/>
  <c r="B121" i="3"/>
  <c r="I120" i="3"/>
  <c r="H120" i="3"/>
  <c r="G120" i="3"/>
  <c r="D120" i="3"/>
  <c r="C120" i="3"/>
  <c r="B120" i="3"/>
  <c r="I119" i="3"/>
  <c r="H119" i="3"/>
  <c r="G119" i="3"/>
  <c r="D119" i="3"/>
  <c r="C119" i="3"/>
  <c r="B119" i="3"/>
  <c r="I118" i="3"/>
  <c r="H118" i="3"/>
  <c r="G118" i="3"/>
  <c r="D118" i="3"/>
  <c r="C118" i="3"/>
  <c r="B118" i="3"/>
  <c r="I117" i="3"/>
  <c r="H117" i="3"/>
  <c r="G117" i="3"/>
  <c r="D117" i="3"/>
  <c r="C117" i="3"/>
  <c r="B117" i="3"/>
  <c r="I116" i="3"/>
  <c r="H116" i="3"/>
  <c r="G116" i="3"/>
  <c r="D116" i="3"/>
  <c r="C116" i="3"/>
  <c r="B116" i="3"/>
  <c r="I115" i="3"/>
  <c r="H115" i="3"/>
  <c r="G115" i="3"/>
  <c r="D115" i="3"/>
  <c r="C115" i="3"/>
  <c r="B115" i="3"/>
  <c r="I114" i="3"/>
  <c r="H114" i="3"/>
  <c r="G114" i="3"/>
  <c r="D114" i="3"/>
  <c r="C114" i="3"/>
  <c r="B114" i="3"/>
  <c r="I113" i="3"/>
  <c r="H113" i="3"/>
  <c r="G113" i="3"/>
  <c r="D113" i="3"/>
  <c r="C113" i="3"/>
  <c r="B113" i="3"/>
  <c r="I112" i="3"/>
  <c r="H112" i="3"/>
  <c r="G112" i="3"/>
  <c r="D112" i="3"/>
  <c r="C112" i="3"/>
  <c r="B112" i="3"/>
  <c r="I111" i="3"/>
  <c r="H111" i="3"/>
  <c r="G111" i="3"/>
  <c r="D111" i="3"/>
  <c r="C111" i="3"/>
  <c r="B111" i="3"/>
  <c r="I110" i="3"/>
  <c r="H110" i="3"/>
  <c r="G110" i="3"/>
  <c r="D110" i="3"/>
  <c r="C110" i="3"/>
  <c r="B110" i="3"/>
  <c r="I109" i="3"/>
  <c r="H109" i="3"/>
  <c r="G109" i="3"/>
  <c r="D109" i="3"/>
  <c r="C109" i="3"/>
  <c r="B109" i="3"/>
  <c r="I108" i="3"/>
  <c r="H108" i="3"/>
  <c r="G108" i="3"/>
  <c r="D108" i="3"/>
  <c r="C108" i="3"/>
  <c r="B108" i="3"/>
  <c r="I107" i="3"/>
  <c r="H107" i="3"/>
  <c r="G107" i="3"/>
  <c r="D107" i="3"/>
  <c r="C107" i="3"/>
  <c r="B107" i="3"/>
  <c r="I106" i="3"/>
  <c r="H106" i="3"/>
  <c r="G106" i="3"/>
  <c r="D106" i="3"/>
  <c r="C106" i="3"/>
  <c r="B106" i="3"/>
  <c r="I105" i="3"/>
  <c r="H105" i="3"/>
  <c r="G105" i="3"/>
  <c r="D105" i="3"/>
  <c r="C105" i="3"/>
  <c r="B105" i="3"/>
  <c r="I104" i="3"/>
  <c r="H104" i="3"/>
  <c r="G104" i="3"/>
  <c r="D104" i="3"/>
  <c r="C104" i="3"/>
  <c r="B104" i="3"/>
  <c r="I103" i="3"/>
  <c r="H103" i="3"/>
  <c r="G103" i="3"/>
  <c r="D103" i="3"/>
  <c r="C103" i="3"/>
  <c r="B103" i="3"/>
  <c r="I102" i="3"/>
  <c r="H102" i="3"/>
  <c r="G102" i="3"/>
  <c r="D102" i="3"/>
  <c r="C102" i="3"/>
  <c r="B102" i="3"/>
  <c r="I101" i="3"/>
  <c r="H101" i="3"/>
  <c r="G101" i="3"/>
  <c r="D101" i="3"/>
  <c r="C101" i="3"/>
  <c r="B101" i="3"/>
  <c r="I100" i="3"/>
  <c r="H100" i="3"/>
  <c r="G100" i="3"/>
  <c r="D100" i="3"/>
  <c r="C100" i="3"/>
  <c r="B100" i="3"/>
  <c r="I99" i="3"/>
  <c r="H99" i="3"/>
  <c r="G99" i="3"/>
  <c r="D99" i="3"/>
  <c r="C99" i="3"/>
  <c r="B99" i="3"/>
  <c r="I98" i="3"/>
  <c r="H98" i="3"/>
  <c r="G98" i="3"/>
  <c r="D98" i="3"/>
  <c r="C98" i="3"/>
  <c r="B98" i="3"/>
  <c r="I97" i="3"/>
  <c r="H97" i="3"/>
  <c r="G97" i="3"/>
  <c r="D97" i="3"/>
  <c r="C97" i="3"/>
  <c r="B97" i="3"/>
  <c r="I96" i="3"/>
  <c r="H96" i="3"/>
  <c r="G96" i="3"/>
  <c r="D96" i="3"/>
  <c r="C96" i="3"/>
  <c r="B96" i="3"/>
  <c r="I95" i="3"/>
  <c r="H95" i="3"/>
  <c r="G95" i="3"/>
  <c r="D95" i="3"/>
  <c r="C95" i="3"/>
  <c r="B95" i="3"/>
  <c r="I94" i="3"/>
  <c r="H94" i="3"/>
  <c r="G94" i="3"/>
  <c r="D94" i="3"/>
  <c r="C94" i="3"/>
  <c r="B94" i="3"/>
  <c r="I93" i="3"/>
  <c r="H93" i="3"/>
  <c r="G93" i="3"/>
  <c r="D93" i="3"/>
  <c r="C93" i="3"/>
  <c r="B93" i="3"/>
  <c r="I92" i="3"/>
  <c r="H92" i="3"/>
  <c r="G92" i="3"/>
  <c r="D92" i="3"/>
  <c r="C92" i="3"/>
  <c r="B92" i="3"/>
  <c r="I91" i="3"/>
  <c r="H91" i="3"/>
  <c r="G91" i="3"/>
  <c r="D91" i="3"/>
  <c r="C91" i="3"/>
  <c r="B91" i="3"/>
  <c r="I90" i="3"/>
  <c r="H90" i="3"/>
  <c r="G90" i="3"/>
  <c r="D90" i="3"/>
  <c r="C90" i="3"/>
  <c r="B90" i="3"/>
  <c r="I89" i="3"/>
  <c r="H89" i="3"/>
  <c r="G89" i="3"/>
  <c r="D89" i="3"/>
  <c r="C89" i="3"/>
  <c r="B89" i="3"/>
  <c r="I88" i="3"/>
  <c r="H88" i="3"/>
  <c r="G88" i="3"/>
  <c r="D88" i="3"/>
  <c r="C88" i="3"/>
  <c r="B88" i="3"/>
  <c r="I87" i="3"/>
  <c r="H87" i="3"/>
  <c r="G87" i="3"/>
  <c r="D87" i="3"/>
  <c r="C87" i="3"/>
  <c r="B87" i="3"/>
  <c r="I86" i="3"/>
  <c r="H86" i="3"/>
  <c r="G86" i="3"/>
  <c r="D86" i="3"/>
  <c r="C86" i="3"/>
  <c r="B86" i="3"/>
  <c r="I85" i="3"/>
  <c r="H85" i="3"/>
  <c r="G85" i="3"/>
  <c r="D85" i="3"/>
  <c r="C85" i="3"/>
  <c r="B85" i="3"/>
  <c r="I84" i="3"/>
  <c r="H84" i="3"/>
  <c r="G84" i="3"/>
  <c r="D84" i="3"/>
  <c r="C84" i="3"/>
  <c r="B84" i="3"/>
  <c r="I83" i="3"/>
  <c r="H83" i="3"/>
  <c r="G83" i="3"/>
  <c r="D83" i="3"/>
  <c r="C83" i="3"/>
  <c r="B83" i="3"/>
  <c r="I82" i="3"/>
  <c r="H82" i="3"/>
  <c r="G82" i="3"/>
  <c r="D82" i="3"/>
  <c r="C82" i="3"/>
  <c r="B82" i="3"/>
  <c r="I81" i="3"/>
  <c r="H81" i="3"/>
  <c r="G81" i="3"/>
  <c r="D81" i="3"/>
  <c r="C81" i="3"/>
  <c r="B81" i="3"/>
  <c r="I80" i="3"/>
  <c r="H80" i="3"/>
  <c r="G80" i="3"/>
  <c r="D80" i="3"/>
  <c r="C80" i="3"/>
  <c r="B80" i="3"/>
  <c r="I79" i="3"/>
  <c r="H79" i="3"/>
  <c r="G79" i="3"/>
  <c r="D79" i="3"/>
  <c r="C79" i="3"/>
  <c r="B79" i="3"/>
  <c r="I78" i="3"/>
  <c r="H78" i="3"/>
  <c r="G78" i="3"/>
  <c r="D78" i="3"/>
  <c r="C78" i="3"/>
  <c r="B78" i="3"/>
  <c r="I77" i="3"/>
  <c r="H77" i="3"/>
  <c r="G77" i="3"/>
  <c r="D77" i="3"/>
  <c r="C77" i="3"/>
  <c r="B77" i="3"/>
  <c r="I76" i="3"/>
  <c r="H76" i="3"/>
  <c r="G76" i="3"/>
  <c r="D76" i="3"/>
  <c r="C76" i="3"/>
  <c r="B76" i="3"/>
  <c r="I75" i="3"/>
  <c r="H75" i="3"/>
  <c r="G75" i="3"/>
  <c r="D75" i="3"/>
  <c r="C75" i="3"/>
  <c r="B75" i="3"/>
  <c r="I74" i="3"/>
  <c r="H74" i="3"/>
  <c r="G74" i="3"/>
  <c r="D74" i="3"/>
  <c r="C74" i="3"/>
  <c r="B74" i="3"/>
  <c r="I73" i="3"/>
  <c r="H73" i="3"/>
  <c r="G73" i="3"/>
  <c r="D73" i="3"/>
  <c r="C73" i="3"/>
  <c r="B73" i="3"/>
  <c r="I72" i="3"/>
  <c r="H72" i="3"/>
  <c r="G72" i="3"/>
  <c r="D72" i="3"/>
  <c r="C72" i="3"/>
  <c r="B72" i="3"/>
  <c r="I71" i="3"/>
  <c r="H71" i="3"/>
  <c r="G71" i="3"/>
  <c r="D71" i="3"/>
  <c r="C71" i="3"/>
  <c r="B71" i="3"/>
  <c r="I70" i="3"/>
  <c r="H70" i="3"/>
  <c r="G70" i="3"/>
  <c r="D70" i="3"/>
  <c r="C70" i="3"/>
  <c r="B70" i="3"/>
  <c r="I69" i="3"/>
  <c r="H69" i="3"/>
  <c r="G69" i="3"/>
  <c r="D69" i="3"/>
  <c r="C69" i="3"/>
  <c r="B69" i="3"/>
  <c r="I68" i="3"/>
  <c r="H68" i="3"/>
  <c r="G68" i="3"/>
  <c r="D68" i="3"/>
  <c r="C68" i="3"/>
  <c r="B68" i="3"/>
  <c r="I67" i="3"/>
  <c r="H67" i="3"/>
  <c r="G67" i="3"/>
  <c r="D67" i="3"/>
  <c r="C67" i="3"/>
  <c r="B67" i="3"/>
  <c r="I66" i="3"/>
  <c r="H66" i="3"/>
  <c r="G66" i="3"/>
  <c r="D66" i="3"/>
  <c r="C66" i="3"/>
  <c r="B66" i="3"/>
  <c r="I65" i="3"/>
  <c r="H65" i="3"/>
  <c r="G65" i="3"/>
  <c r="D65" i="3"/>
  <c r="C65" i="3"/>
  <c r="B65" i="3"/>
  <c r="I64" i="3"/>
  <c r="H64" i="3"/>
  <c r="G64" i="3"/>
  <c r="D64" i="3"/>
  <c r="C64" i="3"/>
  <c r="B64" i="3"/>
  <c r="I63" i="3"/>
  <c r="H63" i="3"/>
  <c r="G63" i="3"/>
  <c r="D63" i="3"/>
  <c r="C63" i="3"/>
  <c r="B63" i="3"/>
  <c r="I62" i="3"/>
  <c r="H62" i="3"/>
  <c r="G62" i="3"/>
  <c r="D62" i="3"/>
  <c r="C62" i="3"/>
  <c r="B62" i="3"/>
  <c r="I61" i="3"/>
  <c r="H61" i="3"/>
  <c r="G61" i="3"/>
  <c r="D61" i="3"/>
  <c r="C61" i="3"/>
  <c r="B61" i="3"/>
  <c r="I60" i="3"/>
  <c r="H60" i="3"/>
  <c r="G60" i="3"/>
  <c r="D60" i="3"/>
  <c r="C60" i="3"/>
  <c r="B60" i="3"/>
  <c r="I59" i="3"/>
  <c r="H59" i="3"/>
  <c r="G59" i="3"/>
  <c r="D59" i="3"/>
  <c r="C59" i="3"/>
  <c r="B59" i="3"/>
  <c r="I58" i="3"/>
  <c r="H58" i="3"/>
  <c r="G58" i="3"/>
  <c r="D58" i="3"/>
  <c r="C58" i="3"/>
  <c r="B58" i="3"/>
  <c r="I57" i="3"/>
  <c r="H57" i="3"/>
  <c r="G57" i="3"/>
  <c r="D57" i="3"/>
  <c r="C57" i="3"/>
  <c r="B57" i="3"/>
  <c r="I56" i="3"/>
  <c r="H56" i="3"/>
  <c r="G56" i="3"/>
  <c r="D56" i="3"/>
  <c r="C56" i="3"/>
  <c r="B56" i="3"/>
  <c r="I55" i="3"/>
  <c r="H55" i="3"/>
  <c r="G55" i="3"/>
  <c r="D55" i="3"/>
  <c r="C55" i="3"/>
  <c r="B55" i="3"/>
  <c r="I54" i="3"/>
  <c r="H54" i="3"/>
  <c r="G54" i="3"/>
  <c r="D54" i="3"/>
  <c r="C54" i="3"/>
  <c r="B54" i="3"/>
  <c r="I53" i="3"/>
  <c r="H53" i="3"/>
  <c r="G53" i="3"/>
  <c r="D53" i="3"/>
  <c r="C53" i="3"/>
  <c r="B53" i="3"/>
  <c r="I52" i="3"/>
  <c r="H52" i="3"/>
  <c r="G52" i="3"/>
  <c r="D52" i="3"/>
  <c r="C52" i="3"/>
  <c r="B52" i="3"/>
  <c r="I51" i="3"/>
  <c r="H51" i="3"/>
  <c r="G51" i="3"/>
  <c r="D51" i="3"/>
  <c r="C51" i="3"/>
  <c r="B51" i="3"/>
  <c r="I50" i="3"/>
  <c r="H50" i="3"/>
  <c r="G50" i="3"/>
  <c r="D50" i="3"/>
  <c r="C50" i="3"/>
  <c r="B50" i="3"/>
  <c r="I49" i="3"/>
  <c r="H49" i="3"/>
  <c r="G49" i="3"/>
  <c r="D49" i="3"/>
  <c r="C49" i="3"/>
  <c r="B49" i="3"/>
  <c r="I48" i="3"/>
  <c r="H48" i="3"/>
  <c r="G48" i="3"/>
  <c r="D48" i="3"/>
  <c r="C48" i="3"/>
  <c r="B48" i="3"/>
  <c r="I47" i="3"/>
  <c r="H47" i="3"/>
  <c r="G47" i="3"/>
  <c r="D47" i="3"/>
  <c r="C47" i="3"/>
  <c r="B47" i="3"/>
  <c r="I46" i="3"/>
  <c r="H46" i="3"/>
  <c r="G46" i="3"/>
  <c r="D46" i="3"/>
  <c r="C46" i="3"/>
  <c r="B46" i="3"/>
  <c r="I45" i="3"/>
  <c r="H45" i="3"/>
  <c r="G45" i="3"/>
  <c r="D45" i="3"/>
  <c r="C45" i="3"/>
  <c r="B45" i="3"/>
  <c r="I44" i="3"/>
  <c r="H44" i="3"/>
  <c r="G44" i="3"/>
  <c r="D44" i="3"/>
  <c r="C44" i="3"/>
  <c r="B44" i="3"/>
  <c r="I43" i="3"/>
  <c r="H43" i="3"/>
  <c r="G43" i="3"/>
  <c r="D43" i="3"/>
  <c r="C43" i="3"/>
  <c r="B43" i="3"/>
  <c r="I42" i="3"/>
  <c r="H42" i="3"/>
  <c r="G42" i="3"/>
  <c r="D42" i="3"/>
  <c r="C42" i="3"/>
  <c r="B42" i="3"/>
  <c r="I41" i="3"/>
  <c r="H41" i="3"/>
  <c r="G41" i="3"/>
  <c r="D41" i="3"/>
  <c r="C41" i="3"/>
  <c r="B41" i="3"/>
  <c r="I40" i="3"/>
  <c r="H40" i="3"/>
  <c r="G40" i="3"/>
  <c r="D40" i="3"/>
  <c r="C40" i="3"/>
  <c r="B40" i="3"/>
  <c r="I39" i="3"/>
  <c r="H39" i="3"/>
  <c r="G39" i="3"/>
  <c r="D39" i="3"/>
  <c r="C39" i="3"/>
  <c r="B39" i="3"/>
  <c r="I38" i="3"/>
  <c r="H38" i="3"/>
  <c r="G38" i="3"/>
  <c r="D38" i="3"/>
  <c r="C38" i="3"/>
  <c r="B38" i="3"/>
  <c r="I37" i="3"/>
  <c r="H37" i="3"/>
  <c r="G37" i="3"/>
  <c r="D37" i="3"/>
  <c r="C37" i="3"/>
  <c r="B37" i="3"/>
  <c r="I36" i="3"/>
  <c r="H36" i="3"/>
  <c r="G36" i="3"/>
  <c r="D36" i="3"/>
  <c r="C36" i="3"/>
  <c r="B36" i="3"/>
  <c r="I35" i="3"/>
  <c r="H35" i="3"/>
  <c r="G35" i="3"/>
  <c r="D35" i="3"/>
  <c r="C35" i="3"/>
  <c r="B35" i="3"/>
  <c r="I34" i="3"/>
  <c r="H34" i="3"/>
  <c r="G34" i="3"/>
  <c r="D34" i="3"/>
  <c r="C34" i="3"/>
  <c r="B34" i="3"/>
  <c r="I33" i="3"/>
  <c r="H33" i="3"/>
  <c r="G33" i="3"/>
  <c r="D33" i="3"/>
  <c r="C33" i="3"/>
  <c r="B33" i="3"/>
  <c r="I32" i="3"/>
  <c r="H32" i="3"/>
  <c r="G32" i="3"/>
  <c r="D32" i="3"/>
  <c r="C32" i="3"/>
  <c r="B32" i="3"/>
  <c r="I31" i="3"/>
  <c r="H31" i="3"/>
  <c r="G31" i="3"/>
  <c r="D31" i="3"/>
  <c r="C31" i="3"/>
  <c r="B31" i="3"/>
  <c r="I30" i="3"/>
  <c r="H30" i="3"/>
  <c r="G30" i="3"/>
  <c r="D30" i="3"/>
  <c r="C30" i="3"/>
  <c r="B30" i="3"/>
  <c r="I29" i="3"/>
  <c r="H29" i="3"/>
  <c r="G29" i="3"/>
  <c r="D29" i="3"/>
  <c r="C29" i="3"/>
  <c r="B29" i="3"/>
  <c r="I28" i="3"/>
  <c r="H28" i="3"/>
  <c r="G28" i="3"/>
  <c r="D28" i="3"/>
  <c r="C28" i="3"/>
  <c r="B28" i="3"/>
  <c r="I27" i="3"/>
  <c r="H27" i="3"/>
  <c r="G27" i="3"/>
  <c r="D27" i="3"/>
  <c r="C27" i="3"/>
  <c r="B27" i="3"/>
  <c r="I26" i="3"/>
  <c r="H26" i="3"/>
  <c r="G26" i="3"/>
  <c r="D26" i="3"/>
  <c r="C26" i="3"/>
  <c r="B26" i="3"/>
  <c r="I25" i="3"/>
  <c r="H25" i="3"/>
  <c r="G25" i="3"/>
  <c r="D25" i="3"/>
  <c r="C25" i="3"/>
  <c r="B25" i="3"/>
  <c r="I24" i="3"/>
  <c r="H24" i="3"/>
  <c r="G24" i="3"/>
  <c r="D24" i="3"/>
  <c r="C24" i="3"/>
  <c r="B24" i="3"/>
  <c r="I23" i="3"/>
  <c r="H23" i="3"/>
  <c r="G23" i="3"/>
  <c r="D23" i="3"/>
  <c r="C23" i="3"/>
  <c r="B23" i="3"/>
  <c r="I22" i="3"/>
  <c r="H22" i="3"/>
  <c r="G22" i="3"/>
  <c r="D22" i="3"/>
  <c r="C22" i="3"/>
  <c r="B22" i="3"/>
  <c r="I21" i="3"/>
  <c r="H21" i="3"/>
  <c r="G21" i="3"/>
  <c r="D21" i="3"/>
  <c r="C21" i="3"/>
  <c r="B21" i="3"/>
  <c r="I20" i="3"/>
  <c r="H20" i="3"/>
  <c r="G20" i="3"/>
  <c r="D20" i="3"/>
  <c r="C20" i="3"/>
  <c r="B20" i="3"/>
  <c r="I19" i="3"/>
  <c r="H19" i="3"/>
  <c r="G19" i="3"/>
  <c r="D19" i="3"/>
  <c r="C19" i="3"/>
  <c r="B19" i="3"/>
  <c r="I18" i="3"/>
  <c r="H18" i="3"/>
  <c r="G18" i="3"/>
  <c r="D18" i="3"/>
  <c r="C18" i="3"/>
  <c r="B18" i="3"/>
  <c r="I17" i="3"/>
  <c r="H17" i="3"/>
  <c r="G17" i="3"/>
  <c r="D17" i="3"/>
  <c r="C17" i="3"/>
  <c r="B17" i="3"/>
  <c r="I16" i="3"/>
  <c r="H16" i="3"/>
  <c r="G16" i="3"/>
  <c r="D16" i="3"/>
  <c r="C16" i="3"/>
  <c r="B16" i="3"/>
  <c r="I15" i="3"/>
  <c r="H15" i="3"/>
  <c r="G15" i="3"/>
  <c r="D15" i="3"/>
  <c r="C15" i="3"/>
  <c r="B15" i="3"/>
  <c r="I14" i="3"/>
  <c r="H14" i="3"/>
  <c r="G14" i="3"/>
  <c r="D14" i="3"/>
  <c r="C14" i="3"/>
  <c r="B14" i="3"/>
  <c r="I13" i="3"/>
  <c r="H13" i="3"/>
  <c r="G13" i="3"/>
  <c r="D13" i="3"/>
  <c r="C13" i="3"/>
  <c r="B13" i="3"/>
  <c r="I12" i="3"/>
  <c r="H12" i="3"/>
  <c r="G12" i="3"/>
  <c r="D12" i="3"/>
  <c r="C12" i="3"/>
  <c r="B12" i="3"/>
  <c r="I11" i="3"/>
  <c r="H11" i="3"/>
  <c r="G11" i="3"/>
  <c r="D11" i="3"/>
  <c r="C11" i="3"/>
  <c r="B11" i="3"/>
  <c r="I10" i="3"/>
  <c r="H10" i="3"/>
  <c r="G10" i="3"/>
  <c r="D10" i="3"/>
  <c r="C10" i="3"/>
  <c r="B10" i="3"/>
  <c r="I9" i="3"/>
  <c r="H9" i="3"/>
  <c r="G9" i="3"/>
  <c r="D9" i="3"/>
  <c r="C9" i="3"/>
  <c r="B9" i="3"/>
  <c r="I8" i="3"/>
  <c r="H8" i="3"/>
  <c r="G8" i="3"/>
  <c r="D8" i="3"/>
  <c r="C8" i="3"/>
  <c r="B8" i="3"/>
  <c r="I7" i="3"/>
  <c r="H7" i="3"/>
  <c r="G7" i="3"/>
  <c r="D7" i="3"/>
  <c r="C7" i="3"/>
  <c r="B7" i="3"/>
  <c r="I6" i="3"/>
  <c r="H6" i="3"/>
  <c r="G6" i="3"/>
  <c r="D6" i="3"/>
  <c r="C6" i="3"/>
  <c r="B6" i="3"/>
  <c r="I5" i="3"/>
  <c r="H5" i="3"/>
  <c r="G5" i="3"/>
  <c r="D5" i="3"/>
  <c r="C5" i="3"/>
  <c r="B5" i="3"/>
  <c r="I4" i="3"/>
  <c r="H4" i="3"/>
  <c r="G4" i="3"/>
  <c r="D4" i="3"/>
  <c r="C4" i="3"/>
  <c r="B4" i="3"/>
  <c r="I3" i="3"/>
  <c r="H3" i="3"/>
  <c r="G3" i="3"/>
  <c r="D3" i="3"/>
  <c r="C3" i="3"/>
  <c r="B3" i="3"/>
  <c r="I2" i="3"/>
  <c r="H2" i="3"/>
  <c r="G2" i="3"/>
  <c r="D2" i="3"/>
  <c r="C2" i="3"/>
  <c r="B2" i="3"/>
  <c r="F576" i="3"/>
  <c r="E576" i="3"/>
  <c r="F575" i="3"/>
  <c r="E575" i="3"/>
  <c r="F574" i="3"/>
  <c r="E574" i="3"/>
  <c r="F573" i="3"/>
  <c r="E573" i="3"/>
  <c r="F572" i="3"/>
  <c r="E572" i="3"/>
  <c r="F571" i="3"/>
  <c r="E571" i="3"/>
  <c r="F570" i="3"/>
  <c r="E570" i="3"/>
  <c r="F569" i="3"/>
  <c r="E569" i="3"/>
  <c r="F568" i="3"/>
  <c r="E568" i="3"/>
  <c r="F567" i="3"/>
  <c r="E567" i="3"/>
  <c r="F566" i="3"/>
  <c r="E566" i="3"/>
  <c r="F565" i="3"/>
  <c r="E565" i="3"/>
  <c r="F564" i="3"/>
  <c r="E564" i="3"/>
  <c r="F563" i="3"/>
  <c r="E563" i="3"/>
  <c r="F562" i="3"/>
  <c r="E562" i="3"/>
  <c r="F561" i="3"/>
  <c r="E561" i="3"/>
  <c r="F560" i="3"/>
  <c r="E560" i="3"/>
  <c r="F559" i="3"/>
  <c r="E559" i="3"/>
  <c r="F558" i="3"/>
  <c r="E558" i="3"/>
  <c r="F557" i="3"/>
  <c r="E557" i="3"/>
  <c r="F556" i="3"/>
  <c r="E556" i="3"/>
  <c r="F555" i="3"/>
  <c r="E555" i="3"/>
  <c r="F554" i="3"/>
  <c r="E554" i="3"/>
  <c r="F553" i="3"/>
  <c r="E553" i="3"/>
  <c r="F552" i="3"/>
  <c r="E552" i="3"/>
  <c r="F551" i="3"/>
  <c r="E551" i="3"/>
  <c r="F550" i="3"/>
  <c r="E550" i="3"/>
  <c r="F549" i="3"/>
  <c r="E549" i="3"/>
  <c r="F548" i="3"/>
  <c r="E548" i="3"/>
  <c r="F547" i="3"/>
  <c r="E547" i="3"/>
  <c r="F546" i="3"/>
  <c r="E546" i="3"/>
  <c r="F545" i="3"/>
  <c r="E545" i="3"/>
  <c r="F544" i="3"/>
  <c r="E544" i="3"/>
  <c r="F543" i="3"/>
  <c r="E543" i="3"/>
  <c r="F542" i="3"/>
  <c r="E542" i="3"/>
  <c r="F541" i="3"/>
  <c r="E541" i="3"/>
  <c r="F540" i="3"/>
  <c r="E540" i="3"/>
  <c r="F539" i="3"/>
  <c r="E539" i="3"/>
  <c r="F538" i="3"/>
  <c r="E538" i="3"/>
  <c r="F537" i="3"/>
  <c r="E537" i="3"/>
  <c r="F536" i="3"/>
  <c r="E536" i="3"/>
  <c r="F535" i="3"/>
  <c r="E535" i="3"/>
  <c r="F534" i="3"/>
  <c r="E534" i="3"/>
  <c r="F533" i="3"/>
  <c r="E533" i="3"/>
  <c r="F532" i="3"/>
  <c r="E532" i="3"/>
  <c r="F531" i="3"/>
  <c r="E531" i="3"/>
  <c r="F530" i="3"/>
  <c r="E530" i="3"/>
  <c r="F529" i="3"/>
  <c r="E529" i="3"/>
  <c r="F528" i="3"/>
  <c r="E528" i="3"/>
  <c r="F527" i="3"/>
  <c r="E527" i="3"/>
  <c r="F526" i="3"/>
  <c r="E526" i="3"/>
  <c r="F525" i="3"/>
  <c r="E525" i="3"/>
  <c r="F524" i="3"/>
  <c r="E524" i="3"/>
  <c r="F523" i="3"/>
  <c r="E523" i="3"/>
  <c r="F522" i="3"/>
  <c r="E522" i="3"/>
  <c r="F521" i="3"/>
  <c r="E521" i="3"/>
  <c r="F520" i="3"/>
  <c r="E520" i="3"/>
  <c r="F519" i="3"/>
  <c r="E519" i="3"/>
  <c r="F518" i="3"/>
  <c r="E518" i="3"/>
  <c r="F517" i="3"/>
  <c r="E517" i="3"/>
  <c r="F516" i="3"/>
  <c r="E516" i="3"/>
  <c r="F515" i="3"/>
  <c r="E515" i="3"/>
  <c r="F514" i="3"/>
  <c r="E514" i="3"/>
  <c r="F513" i="3"/>
  <c r="E513" i="3"/>
  <c r="F512" i="3"/>
  <c r="E512" i="3"/>
  <c r="F511" i="3"/>
  <c r="E511" i="3"/>
  <c r="F510" i="3"/>
  <c r="E510" i="3"/>
  <c r="F509" i="3"/>
  <c r="E509" i="3"/>
  <c r="F508" i="3"/>
  <c r="E508" i="3"/>
  <c r="F507" i="3"/>
  <c r="E507" i="3"/>
  <c r="F506" i="3"/>
  <c r="E506" i="3"/>
  <c r="F505" i="3"/>
  <c r="E505" i="3"/>
  <c r="F504" i="3"/>
  <c r="E504" i="3"/>
  <c r="F503" i="3"/>
  <c r="E503" i="3"/>
  <c r="F502" i="3"/>
  <c r="E502" i="3"/>
  <c r="F501" i="3"/>
  <c r="E501" i="3"/>
  <c r="F500" i="3"/>
  <c r="E500" i="3"/>
  <c r="F499" i="3"/>
  <c r="E499" i="3"/>
  <c r="F498" i="3"/>
  <c r="E498" i="3"/>
  <c r="F497" i="3"/>
  <c r="E497" i="3"/>
  <c r="F496" i="3"/>
  <c r="E496" i="3"/>
  <c r="F495" i="3"/>
  <c r="E495" i="3"/>
  <c r="F494" i="3"/>
  <c r="E494" i="3"/>
  <c r="F493" i="3"/>
  <c r="E493" i="3"/>
  <c r="F492" i="3"/>
  <c r="E492" i="3"/>
  <c r="F491" i="3"/>
  <c r="E491" i="3"/>
  <c r="F490" i="3"/>
  <c r="E490" i="3"/>
  <c r="F489" i="3"/>
  <c r="E489" i="3"/>
  <c r="F488" i="3"/>
  <c r="E488" i="3"/>
  <c r="F487" i="3"/>
  <c r="E487" i="3"/>
  <c r="F486" i="3"/>
  <c r="E486" i="3"/>
  <c r="F485" i="3"/>
  <c r="E485" i="3"/>
  <c r="F484" i="3"/>
  <c r="E484" i="3"/>
  <c r="F483" i="3"/>
  <c r="E483" i="3"/>
  <c r="F482" i="3"/>
  <c r="E482" i="3"/>
  <c r="F481" i="3"/>
  <c r="E481" i="3"/>
  <c r="F480" i="3"/>
  <c r="E480" i="3"/>
  <c r="F479" i="3"/>
  <c r="E479" i="3"/>
  <c r="F478" i="3"/>
  <c r="E478" i="3"/>
  <c r="F477" i="3"/>
  <c r="E477" i="3"/>
  <c r="F476" i="3"/>
  <c r="E476" i="3"/>
  <c r="F475" i="3"/>
  <c r="E475" i="3"/>
  <c r="F474" i="3"/>
  <c r="E474" i="3"/>
  <c r="F473" i="3"/>
  <c r="E473" i="3"/>
  <c r="F472" i="3"/>
  <c r="E472" i="3"/>
  <c r="F471" i="3"/>
  <c r="E471" i="3"/>
  <c r="F470" i="3"/>
  <c r="E470" i="3"/>
  <c r="F469" i="3"/>
  <c r="E469" i="3"/>
  <c r="F468" i="3"/>
  <c r="E468" i="3"/>
  <c r="F467" i="3"/>
  <c r="E467" i="3"/>
  <c r="F466" i="3"/>
  <c r="E466" i="3"/>
  <c r="F465" i="3"/>
  <c r="E465" i="3"/>
  <c r="F464" i="3"/>
  <c r="E464" i="3"/>
  <c r="F463" i="3"/>
  <c r="E463" i="3"/>
  <c r="F462" i="3"/>
  <c r="E462" i="3"/>
  <c r="F461" i="3"/>
  <c r="E461" i="3"/>
  <c r="F460" i="3"/>
  <c r="E460" i="3"/>
  <c r="F459" i="3"/>
  <c r="E459" i="3"/>
  <c r="F458" i="3"/>
  <c r="E458" i="3"/>
  <c r="F457" i="3"/>
  <c r="E457" i="3"/>
  <c r="F456" i="3"/>
  <c r="E456" i="3"/>
  <c r="F455" i="3"/>
  <c r="E455" i="3"/>
  <c r="F454" i="3"/>
  <c r="E454" i="3"/>
  <c r="F453" i="3"/>
  <c r="E453" i="3"/>
  <c r="F452" i="3"/>
  <c r="E452" i="3"/>
  <c r="F451" i="3"/>
  <c r="E451" i="3"/>
  <c r="F450" i="3"/>
  <c r="E450" i="3"/>
  <c r="F449" i="3"/>
  <c r="E449" i="3"/>
  <c r="F448" i="3"/>
  <c r="E448" i="3"/>
  <c r="F447" i="3"/>
  <c r="E447" i="3"/>
  <c r="F446" i="3"/>
  <c r="E446" i="3"/>
  <c r="F445" i="3"/>
  <c r="E445" i="3"/>
  <c r="F444" i="3"/>
  <c r="E444" i="3"/>
  <c r="F443" i="3"/>
  <c r="E443" i="3"/>
  <c r="F442" i="3"/>
  <c r="E442" i="3"/>
  <c r="F441" i="3"/>
  <c r="E441" i="3"/>
  <c r="F440" i="3"/>
  <c r="E440" i="3"/>
  <c r="F439" i="3"/>
  <c r="E439" i="3"/>
  <c r="F438" i="3"/>
  <c r="E438" i="3"/>
  <c r="F437" i="3"/>
  <c r="E437" i="3"/>
  <c r="F436" i="3"/>
  <c r="E436" i="3"/>
  <c r="F435" i="3"/>
  <c r="E435" i="3"/>
  <c r="F434" i="3"/>
  <c r="E434" i="3"/>
  <c r="F433" i="3"/>
  <c r="E433" i="3"/>
  <c r="F432" i="3"/>
  <c r="E432" i="3"/>
  <c r="F431" i="3"/>
  <c r="E431" i="3"/>
  <c r="F430" i="3"/>
  <c r="E430" i="3"/>
  <c r="F429" i="3"/>
  <c r="E429" i="3"/>
  <c r="F428" i="3"/>
  <c r="E428" i="3"/>
  <c r="F427" i="3"/>
  <c r="E427" i="3"/>
  <c r="F426" i="3"/>
  <c r="E426" i="3"/>
  <c r="F425" i="3"/>
  <c r="E425" i="3"/>
  <c r="F424" i="3"/>
  <c r="E424" i="3"/>
  <c r="F423" i="3"/>
  <c r="E423" i="3"/>
  <c r="F422" i="3"/>
  <c r="E422" i="3"/>
  <c r="F421" i="3"/>
  <c r="E421" i="3"/>
  <c r="F420" i="3"/>
  <c r="E420" i="3"/>
  <c r="F419" i="3"/>
  <c r="E419" i="3"/>
  <c r="F418" i="3"/>
  <c r="E418" i="3"/>
  <c r="F417" i="3"/>
  <c r="E417" i="3"/>
  <c r="F416" i="3"/>
  <c r="E416" i="3"/>
  <c r="F415" i="3"/>
  <c r="E415" i="3"/>
  <c r="F414" i="3"/>
  <c r="E414" i="3"/>
  <c r="F413" i="3"/>
  <c r="E413" i="3"/>
  <c r="F412" i="3"/>
  <c r="E412" i="3"/>
  <c r="F411" i="3"/>
  <c r="E411" i="3"/>
  <c r="F410" i="3"/>
  <c r="E410" i="3"/>
  <c r="F409" i="3"/>
  <c r="E409" i="3"/>
  <c r="F408" i="3"/>
  <c r="E408" i="3"/>
  <c r="F407" i="3"/>
  <c r="E407" i="3"/>
  <c r="F406" i="3"/>
  <c r="E406" i="3"/>
  <c r="F405" i="3"/>
  <c r="E405" i="3"/>
  <c r="F404" i="3"/>
  <c r="E404" i="3"/>
  <c r="F403" i="3"/>
  <c r="E403" i="3"/>
  <c r="F402" i="3"/>
  <c r="E402" i="3"/>
  <c r="F401" i="3"/>
  <c r="E401" i="3"/>
  <c r="F400" i="3"/>
  <c r="E400" i="3"/>
  <c r="F399" i="3"/>
  <c r="E399" i="3"/>
  <c r="F398" i="3"/>
  <c r="E398" i="3"/>
  <c r="F397" i="3"/>
  <c r="E397" i="3"/>
  <c r="F396" i="3"/>
  <c r="E396" i="3"/>
  <c r="F395" i="3"/>
  <c r="E395" i="3"/>
  <c r="F394" i="3"/>
  <c r="E394" i="3"/>
  <c r="F393" i="3"/>
  <c r="E393" i="3"/>
  <c r="F392" i="3"/>
  <c r="E392" i="3"/>
  <c r="F391" i="3"/>
  <c r="E391" i="3"/>
  <c r="F390" i="3"/>
  <c r="E390" i="3"/>
  <c r="F389" i="3"/>
  <c r="E389" i="3"/>
  <c r="F388" i="3"/>
  <c r="E388" i="3"/>
  <c r="F387" i="3"/>
  <c r="E387" i="3"/>
  <c r="F386" i="3"/>
  <c r="E386" i="3"/>
  <c r="F385" i="3"/>
  <c r="E385" i="3"/>
  <c r="F384" i="3"/>
  <c r="E384" i="3"/>
  <c r="F383" i="3"/>
  <c r="E383" i="3"/>
  <c r="F382" i="3"/>
  <c r="E382" i="3"/>
  <c r="F381" i="3"/>
  <c r="E381" i="3"/>
  <c r="F380" i="3"/>
  <c r="E380" i="3"/>
  <c r="F379" i="3"/>
  <c r="E379" i="3"/>
  <c r="F378" i="3"/>
  <c r="E378" i="3"/>
  <c r="F377" i="3"/>
  <c r="E377" i="3"/>
  <c r="F376" i="3"/>
  <c r="E376" i="3"/>
  <c r="F375" i="3"/>
  <c r="E375" i="3"/>
  <c r="F374" i="3"/>
  <c r="E374" i="3"/>
  <c r="F373" i="3"/>
  <c r="E373" i="3"/>
  <c r="F372" i="3"/>
  <c r="E372" i="3"/>
  <c r="F371" i="3"/>
  <c r="E371" i="3"/>
  <c r="F370" i="3"/>
  <c r="E370" i="3"/>
  <c r="F369" i="3"/>
  <c r="E369" i="3"/>
  <c r="F368" i="3"/>
  <c r="E368" i="3"/>
  <c r="F367" i="3"/>
  <c r="E367" i="3"/>
  <c r="F366" i="3"/>
  <c r="E366" i="3"/>
  <c r="F365" i="3"/>
  <c r="E365" i="3"/>
  <c r="F364" i="3"/>
  <c r="E364" i="3"/>
  <c r="F363" i="3"/>
  <c r="E363" i="3"/>
  <c r="F362" i="3"/>
  <c r="E362" i="3"/>
  <c r="F361" i="3"/>
  <c r="E361" i="3"/>
  <c r="F360" i="3"/>
  <c r="E360" i="3"/>
  <c r="F359" i="3"/>
  <c r="E359" i="3"/>
  <c r="F358" i="3"/>
  <c r="E358" i="3"/>
  <c r="F357" i="3"/>
  <c r="E357" i="3"/>
  <c r="F356" i="3"/>
  <c r="E356" i="3"/>
  <c r="F355" i="3"/>
  <c r="E355" i="3"/>
  <c r="F354" i="3"/>
  <c r="E354" i="3"/>
  <c r="F353" i="3"/>
  <c r="E353" i="3"/>
  <c r="F352" i="3"/>
  <c r="E352" i="3"/>
  <c r="F351" i="3"/>
  <c r="E351" i="3"/>
  <c r="F350" i="3"/>
  <c r="E350" i="3"/>
  <c r="F349" i="3"/>
  <c r="E349" i="3"/>
  <c r="F348" i="3"/>
  <c r="E348" i="3"/>
  <c r="F347" i="3"/>
  <c r="E347" i="3"/>
  <c r="F346" i="3"/>
  <c r="E346" i="3"/>
  <c r="F345" i="3"/>
  <c r="E345" i="3"/>
  <c r="F344" i="3"/>
  <c r="E344" i="3"/>
  <c r="F343" i="3"/>
  <c r="E343" i="3"/>
  <c r="F342" i="3"/>
  <c r="E342" i="3"/>
  <c r="F341" i="3"/>
  <c r="E341" i="3"/>
  <c r="F340" i="3"/>
  <c r="E340" i="3"/>
  <c r="F339" i="3"/>
  <c r="E339" i="3"/>
  <c r="F338" i="3"/>
  <c r="E338" i="3"/>
  <c r="F337" i="3"/>
  <c r="E337" i="3"/>
  <c r="F336" i="3"/>
  <c r="E336" i="3"/>
  <c r="F335" i="3"/>
  <c r="E335" i="3"/>
  <c r="F334" i="3"/>
  <c r="E334" i="3"/>
  <c r="F333" i="3"/>
  <c r="E333" i="3"/>
  <c r="F332" i="3"/>
  <c r="E332" i="3"/>
  <c r="F331" i="3"/>
  <c r="E331" i="3"/>
  <c r="F330" i="3"/>
  <c r="E330" i="3"/>
  <c r="F329" i="3"/>
  <c r="E329" i="3"/>
  <c r="F328" i="3"/>
  <c r="E328" i="3"/>
  <c r="F327" i="3"/>
  <c r="E327" i="3"/>
  <c r="F326" i="3"/>
  <c r="E326" i="3"/>
  <c r="F325" i="3"/>
  <c r="E325" i="3"/>
  <c r="F324" i="3"/>
  <c r="E324" i="3"/>
  <c r="F323" i="3"/>
  <c r="E323" i="3"/>
  <c r="F322" i="3"/>
  <c r="E322" i="3"/>
  <c r="F321" i="3"/>
  <c r="E321" i="3"/>
  <c r="F320" i="3"/>
  <c r="E320" i="3"/>
  <c r="F319" i="3"/>
  <c r="E319" i="3"/>
  <c r="F318" i="3"/>
  <c r="E318" i="3"/>
  <c r="F317" i="3"/>
  <c r="E317" i="3"/>
  <c r="F316" i="3"/>
  <c r="E316" i="3"/>
  <c r="F315" i="3"/>
  <c r="E315" i="3"/>
  <c r="F314" i="3"/>
  <c r="E314" i="3"/>
  <c r="F313" i="3"/>
  <c r="E313" i="3"/>
  <c r="F312" i="3"/>
  <c r="E312" i="3"/>
  <c r="F311" i="3"/>
  <c r="E311" i="3"/>
  <c r="F310" i="3"/>
  <c r="E310" i="3"/>
  <c r="F309" i="3"/>
  <c r="E309" i="3"/>
  <c r="F308" i="3"/>
  <c r="E308" i="3"/>
  <c r="F307" i="3"/>
  <c r="E307" i="3"/>
  <c r="F306" i="3"/>
  <c r="E306" i="3"/>
  <c r="F305" i="3"/>
  <c r="E305" i="3"/>
  <c r="F304" i="3"/>
  <c r="E304" i="3"/>
  <c r="F303" i="3"/>
  <c r="E303" i="3"/>
  <c r="F302" i="3"/>
  <c r="E302" i="3"/>
  <c r="F301" i="3"/>
  <c r="E301" i="3"/>
  <c r="F300" i="3"/>
  <c r="E300" i="3"/>
  <c r="F299" i="3"/>
  <c r="E299" i="3"/>
  <c r="F298" i="3"/>
  <c r="E298" i="3"/>
  <c r="F297" i="3"/>
  <c r="E297" i="3"/>
  <c r="F296" i="3"/>
  <c r="E296" i="3"/>
  <c r="F295" i="3"/>
  <c r="E295" i="3"/>
  <c r="F294" i="3"/>
  <c r="E294" i="3"/>
  <c r="F293" i="3"/>
  <c r="E293" i="3"/>
  <c r="F292" i="3"/>
  <c r="E292" i="3"/>
  <c r="F291" i="3"/>
  <c r="E291" i="3"/>
  <c r="F290" i="3"/>
  <c r="E290" i="3"/>
  <c r="F289" i="3"/>
  <c r="E289" i="3"/>
  <c r="F288" i="3"/>
  <c r="E288" i="3"/>
  <c r="F287" i="3"/>
  <c r="E287" i="3"/>
  <c r="F286" i="3"/>
  <c r="E286" i="3"/>
  <c r="F285" i="3"/>
  <c r="E285" i="3"/>
  <c r="F284" i="3"/>
  <c r="E284" i="3"/>
  <c r="F283" i="3"/>
  <c r="E283" i="3"/>
  <c r="F282" i="3"/>
  <c r="E282" i="3"/>
  <c r="F281" i="3"/>
  <c r="E281" i="3"/>
  <c r="F280" i="3"/>
  <c r="E280" i="3"/>
  <c r="F279" i="3"/>
  <c r="E279" i="3"/>
  <c r="F278" i="3"/>
  <c r="E278" i="3"/>
  <c r="F277" i="3"/>
  <c r="E277" i="3"/>
  <c r="F276" i="3"/>
  <c r="E276" i="3"/>
  <c r="F275" i="3"/>
  <c r="E275" i="3"/>
  <c r="F274" i="3"/>
  <c r="E274" i="3"/>
  <c r="F273" i="3"/>
  <c r="E273" i="3"/>
  <c r="F272" i="3"/>
  <c r="E272" i="3"/>
  <c r="F271" i="3"/>
  <c r="E271" i="3"/>
  <c r="F270" i="3"/>
  <c r="E270" i="3"/>
  <c r="F269" i="3"/>
  <c r="E269" i="3"/>
  <c r="F268" i="3"/>
  <c r="E268" i="3"/>
  <c r="F267" i="3"/>
  <c r="E267" i="3"/>
  <c r="F266" i="3"/>
  <c r="E266" i="3"/>
  <c r="F265" i="3"/>
  <c r="E265" i="3"/>
  <c r="F264" i="3"/>
  <c r="E264" i="3"/>
  <c r="F263" i="3"/>
  <c r="E263" i="3"/>
  <c r="F262" i="3"/>
  <c r="E262" i="3"/>
  <c r="F261" i="3"/>
  <c r="E261" i="3"/>
  <c r="F260" i="3"/>
  <c r="E260" i="3"/>
  <c r="F259" i="3"/>
  <c r="E259" i="3"/>
  <c r="F258" i="3"/>
  <c r="E258" i="3"/>
  <c r="F257" i="3"/>
  <c r="E257" i="3"/>
  <c r="F256" i="3"/>
  <c r="E256" i="3"/>
  <c r="F255" i="3"/>
  <c r="E255" i="3"/>
  <c r="F254" i="3"/>
  <c r="E254" i="3"/>
  <c r="F253" i="3"/>
  <c r="E253" i="3"/>
  <c r="F252" i="3"/>
  <c r="E252" i="3"/>
  <c r="F251" i="3"/>
  <c r="E251" i="3"/>
  <c r="F250" i="3"/>
  <c r="E250" i="3"/>
  <c r="F249" i="3"/>
  <c r="E249" i="3"/>
  <c r="F248" i="3"/>
  <c r="E248" i="3"/>
  <c r="F247" i="3"/>
  <c r="E247" i="3"/>
  <c r="F246" i="3"/>
  <c r="E246" i="3"/>
  <c r="F245" i="3"/>
  <c r="E245" i="3"/>
  <c r="F244" i="3"/>
  <c r="E244" i="3"/>
  <c r="F243" i="3"/>
  <c r="E243" i="3"/>
  <c r="F242" i="3"/>
  <c r="E242" i="3"/>
  <c r="F241" i="3"/>
  <c r="E241" i="3"/>
  <c r="F240" i="3"/>
  <c r="E240" i="3"/>
  <c r="F239" i="3"/>
  <c r="E239" i="3"/>
  <c r="F238" i="3"/>
  <c r="E238" i="3"/>
  <c r="F237" i="3"/>
  <c r="E237" i="3"/>
  <c r="F236" i="3"/>
  <c r="E236" i="3"/>
  <c r="F235" i="3"/>
  <c r="E235" i="3"/>
  <c r="F234" i="3"/>
  <c r="E234" i="3"/>
  <c r="F233" i="3"/>
  <c r="E233" i="3"/>
  <c r="F232" i="3"/>
  <c r="E232" i="3"/>
  <c r="F231" i="3"/>
  <c r="E231" i="3"/>
  <c r="F230" i="3"/>
  <c r="E230" i="3"/>
  <c r="F229" i="3"/>
  <c r="E229" i="3"/>
  <c r="F228" i="3"/>
  <c r="E228" i="3"/>
  <c r="F227" i="3"/>
  <c r="E227" i="3"/>
  <c r="F226" i="3"/>
  <c r="E226" i="3"/>
  <c r="F225" i="3"/>
  <c r="E225" i="3"/>
  <c r="F224" i="3"/>
  <c r="E224" i="3"/>
  <c r="F223" i="3"/>
  <c r="E223" i="3"/>
  <c r="F222" i="3"/>
  <c r="E222" i="3"/>
  <c r="F221" i="3"/>
  <c r="E221" i="3"/>
  <c r="F220" i="3"/>
  <c r="E220" i="3"/>
  <c r="F219" i="3"/>
  <c r="E219" i="3"/>
  <c r="F218" i="3"/>
  <c r="E218" i="3"/>
  <c r="F217" i="3"/>
  <c r="E217" i="3"/>
  <c r="F216" i="3"/>
  <c r="E216" i="3"/>
  <c r="F215" i="3"/>
  <c r="E215" i="3"/>
  <c r="F214" i="3"/>
  <c r="E214" i="3"/>
  <c r="F213" i="3"/>
  <c r="E213" i="3"/>
  <c r="F212" i="3"/>
  <c r="E212" i="3"/>
  <c r="F211" i="3"/>
  <c r="E211" i="3"/>
  <c r="F210" i="3"/>
  <c r="E210" i="3"/>
  <c r="F209" i="3"/>
  <c r="E209" i="3"/>
  <c r="F208" i="3"/>
  <c r="E208" i="3"/>
  <c r="F207" i="3"/>
  <c r="E207" i="3"/>
  <c r="F206" i="3"/>
  <c r="E206" i="3"/>
  <c r="F205" i="3"/>
  <c r="E205" i="3"/>
  <c r="F204" i="3"/>
  <c r="E204" i="3"/>
  <c r="F203" i="3"/>
  <c r="E203" i="3"/>
  <c r="F202" i="3"/>
  <c r="E202" i="3"/>
  <c r="F201" i="3"/>
  <c r="E201" i="3"/>
  <c r="F200" i="3"/>
  <c r="E200" i="3"/>
  <c r="F199" i="3"/>
  <c r="E199" i="3"/>
  <c r="F198" i="3"/>
  <c r="E198" i="3"/>
  <c r="F197" i="3"/>
  <c r="E197" i="3"/>
  <c r="F196" i="3"/>
  <c r="E196" i="3"/>
  <c r="F195" i="3"/>
  <c r="E195" i="3"/>
  <c r="F194" i="3"/>
  <c r="E194" i="3"/>
  <c r="F193" i="3"/>
  <c r="E193" i="3"/>
  <c r="F192" i="3"/>
  <c r="E192" i="3"/>
  <c r="F191" i="3"/>
  <c r="E191" i="3"/>
  <c r="F190" i="3"/>
  <c r="E190" i="3"/>
  <c r="F189" i="3"/>
  <c r="E189" i="3"/>
  <c r="F188" i="3"/>
  <c r="E188" i="3"/>
  <c r="F187" i="3"/>
  <c r="E187" i="3"/>
  <c r="F186" i="3"/>
  <c r="E186" i="3"/>
  <c r="F185" i="3"/>
  <c r="E185" i="3"/>
  <c r="F184" i="3"/>
  <c r="E184" i="3"/>
  <c r="F183" i="3"/>
  <c r="E183" i="3"/>
  <c r="F182" i="3"/>
  <c r="E182" i="3"/>
  <c r="F181" i="3"/>
  <c r="E181" i="3"/>
  <c r="F180" i="3"/>
  <c r="E180" i="3"/>
  <c r="F179" i="3"/>
  <c r="E179" i="3"/>
  <c r="F178" i="3"/>
  <c r="E178" i="3"/>
  <c r="F177" i="3"/>
  <c r="E177" i="3"/>
  <c r="F176" i="3"/>
  <c r="E176" i="3"/>
  <c r="F175" i="3"/>
  <c r="E175" i="3"/>
  <c r="F174" i="3"/>
  <c r="E174" i="3"/>
  <c r="F173" i="3"/>
  <c r="E173" i="3"/>
  <c r="F172" i="3"/>
  <c r="E172" i="3"/>
  <c r="F171" i="3"/>
  <c r="E171" i="3"/>
  <c r="F170" i="3"/>
  <c r="E170" i="3"/>
  <c r="F169" i="3"/>
  <c r="E169" i="3"/>
  <c r="F168" i="3"/>
  <c r="E168" i="3"/>
  <c r="F167" i="3"/>
  <c r="E167" i="3"/>
  <c r="F166" i="3"/>
  <c r="E166" i="3"/>
  <c r="F165" i="3"/>
  <c r="E165" i="3"/>
  <c r="F164" i="3"/>
  <c r="E164" i="3"/>
  <c r="F163" i="3"/>
  <c r="E163" i="3"/>
  <c r="F162" i="3"/>
  <c r="E162" i="3"/>
  <c r="F161" i="3"/>
  <c r="E161" i="3"/>
  <c r="F160" i="3"/>
  <c r="E160" i="3"/>
  <c r="F159" i="3"/>
  <c r="E159" i="3"/>
  <c r="F158" i="3"/>
  <c r="E158" i="3"/>
  <c r="F157" i="3"/>
  <c r="E157" i="3"/>
  <c r="F156" i="3"/>
  <c r="E156" i="3"/>
  <c r="F155" i="3"/>
  <c r="E155" i="3"/>
  <c r="F154" i="3"/>
  <c r="E154" i="3"/>
  <c r="F153" i="3"/>
  <c r="E153" i="3"/>
  <c r="F152" i="3"/>
  <c r="E152" i="3"/>
  <c r="F151" i="3"/>
  <c r="E151" i="3"/>
  <c r="F150" i="3"/>
  <c r="E150" i="3"/>
  <c r="F149" i="3"/>
  <c r="E149" i="3"/>
  <c r="F148" i="3"/>
  <c r="E148" i="3"/>
  <c r="F147" i="3"/>
  <c r="E147" i="3"/>
  <c r="F146" i="3"/>
  <c r="E146" i="3"/>
  <c r="F145" i="3"/>
  <c r="E145" i="3"/>
  <c r="F144" i="3"/>
  <c r="E144" i="3"/>
  <c r="F143" i="3"/>
  <c r="E143" i="3"/>
  <c r="F142" i="3"/>
  <c r="E142" i="3"/>
  <c r="F141" i="3"/>
  <c r="E141" i="3"/>
  <c r="F140" i="3"/>
  <c r="E140" i="3"/>
  <c r="F139" i="3"/>
  <c r="E139" i="3"/>
  <c r="F138" i="3"/>
  <c r="E138" i="3"/>
  <c r="F137" i="3"/>
  <c r="E137" i="3"/>
  <c r="F136" i="3"/>
  <c r="E136" i="3"/>
  <c r="F135" i="3"/>
  <c r="E135" i="3"/>
  <c r="F134" i="3"/>
  <c r="E134" i="3"/>
  <c r="F133" i="3"/>
  <c r="E133" i="3"/>
  <c r="F132" i="3"/>
  <c r="E132" i="3"/>
  <c r="F131" i="3"/>
  <c r="E131" i="3"/>
  <c r="F130" i="3"/>
  <c r="E130" i="3"/>
  <c r="F129" i="3"/>
  <c r="E129" i="3"/>
  <c r="F128" i="3"/>
  <c r="E128" i="3"/>
  <c r="F127" i="3"/>
  <c r="E127" i="3"/>
  <c r="F126" i="3"/>
  <c r="E126" i="3"/>
  <c r="F125" i="3"/>
  <c r="E125" i="3"/>
  <c r="F124" i="3"/>
  <c r="E124" i="3"/>
  <c r="F123" i="3"/>
  <c r="E123" i="3"/>
  <c r="F122" i="3"/>
  <c r="E122" i="3"/>
  <c r="F121" i="3"/>
  <c r="E121" i="3"/>
  <c r="F120" i="3"/>
  <c r="E120" i="3"/>
  <c r="F119" i="3"/>
  <c r="E119" i="3"/>
  <c r="F118" i="3"/>
  <c r="E118" i="3"/>
  <c r="F117" i="3"/>
  <c r="E117" i="3"/>
  <c r="F116" i="3"/>
  <c r="E116" i="3"/>
  <c r="F115" i="3"/>
  <c r="E115" i="3"/>
  <c r="F114" i="3"/>
  <c r="E114" i="3"/>
  <c r="F113" i="3"/>
  <c r="E113" i="3"/>
  <c r="F112" i="3"/>
  <c r="E112" i="3"/>
  <c r="F111" i="3"/>
  <c r="E111" i="3"/>
  <c r="F110" i="3"/>
  <c r="E110" i="3"/>
  <c r="F109" i="3"/>
  <c r="E109" i="3"/>
  <c r="F108" i="3"/>
  <c r="E108" i="3"/>
  <c r="F107" i="3"/>
  <c r="E107" i="3"/>
  <c r="F106" i="3"/>
  <c r="E106" i="3"/>
  <c r="F105" i="3"/>
  <c r="E105" i="3"/>
  <c r="F104" i="3"/>
  <c r="E104" i="3"/>
  <c r="F103" i="3"/>
  <c r="E103" i="3"/>
  <c r="F102" i="3"/>
  <c r="E102" i="3"/>
  <c r="F101" i="3"/>
  <c r="E101" i="3"/>
  <c r="F100" i="3"/>
  <c r="E100" i="3"/>
  <c r="F99" i="3"/>
  <c r="E99" i="3"/>
  <c r="F98" i="3"/>
  <c r="E98" i="3"/>
  <c r="F97" i="3"/>
  <c r="E97" i="3"/>
  <c r="F96" i="3"/>
  <c r="E96" i="3"/>
  <c r="F95" i="3"/>
  <c r="E95" i="3"/>
  <c r="F94" i="3"/>
  <c r="E94" i="3"/>
  <c r="F93" i="3"/>
  <c r="E93" i="3"/>
  <c r="F92" i="3"/>
  <c r="E92" i="3"/>
  <c r="F91" i="3"/>
  <c r="E91" i="3"/>
  <c r="F90" i="3"/>
  <c r="E90" i="3"/>
  <c r="F89" i="3"/>
  <c r="E89" i="3"/>
  <c r="F88" i="3"/>
  <c r="E88" i="3"/>
  <c r="F87" i="3"/>
  <c r="E87" i="3"/>
  <c r="F86" i="3"/>
  <c r="E86" i="3"/>
  <c r="F85" i="3"/>
  <c r="E85" i="3"/>
  <c r="F84" i="3"/>
  <c r="E84" i="3"/>
  <c r="F83" i="3"/>
  <c r="E83" i="3"/>
  <c r="F82" i="3"/>
  <c r="E82" i="3"/>
  <c r="F81" i="3"/>
  <c r="E81" i="3"/>
  <c r="F80" i="3"/>
  <c r="E80" i="3"/>
  <c r="F79" i="3"/>
  <c r="E79" i="3"/>
  <c r="F78" i="3"/>
  <c r="E78" i="3"/>
  <c r="F77" i="3"/>
  <c r="E77" i="3"/>
  <c r="F76" i="3"/>
  <c r="E76" i="3"/>
  <c r="F75" i="3"/>
  <c r="E75" i="3"/>
  <c r="F74" i="3"/>
  <c r="E74" i="3"/>
  <c r="F73" i="3"/>
  <c r="E73" i="3"/>
  <c r="F72" i="3"/>
  <c r="E72" i="3"/>
  <c r="F71" i="3"/>
  <c r="E71" i="3"/>
  <c r="F70" i="3"/>
  <c r="E70" i="3"/>
  <c r="F69" i="3"/>
  <c r="E69" i="3"/>
  <c r="F68" i="3"/>
  <c r="E68" i="3"/>
  <c r="F67" i="3"/>
  <c r="E67" i="3"/>
  <c r="F66" i="3"/>
  <c r="E66" i="3"/>
  <c r="F65" i="3"/>
  <c r="E65" i="3"/>
  <c r="F64" i="3"/>
  <c r="E64" i="3"/>
  <c r="F63" i="3"/>
  <c r="E63" i="3"/>
  <c r="F62" i="3"/>
  <c r="E62" i="3"/>
  <c r="F61" i="3"/>
  <c r="E61" i="3"/>
  <c r="F60" i="3"/>
  <c r="E60" i="3"/>
  <c r="F59" i="3"/>
  <c r="E59" i="3"/>
  <c r="F58" i="3"/>
  <c r="E58" i="3"/>
  <c r="F57" i="3"/>
  <c r="E57" i="3"/>
  <c r="F56" i="3"/>
  <c r="E56" i="3"/>
  <c r="F55" i="3"/>
  <c r="E55" i="3"/>
  <c r="F54" i="3"/>
  <c r="E54" i="3"/>
  <c r="F53" i="3"/>
  <c r="E53" i="3"/>
  <c r="F52" i="3"/>
  <c r="E52" i="3"/>
  <c r="F51" i="3"/>
  <c r="E51" i="3"/>
  <c r="F50" i="3"/>
  <c r="E50" i="3"/>
  <c r="F49" i="3"/>
  <c r="E49" i="3"/>
  <c r="F48" i="3"/>
  <c r="E48" i="3"/>
  <c r="F47" i="3"/>
  <c r="E47" i="3"/>
  <c r="F46" i="3"/>
  <c r="E46" i="3"/>
  <c r="F45" i="3"/>
  <c r="E45" i="3"/>
  <c r="F44" i="3"/>
  <c r="E44" i="3"/>
  <c r="F43" i="3"/>
  <c r="E43" i="3"/>
  <c r="F42" i="3"/>
  <c r="E42" i="3"/>
  <c r="F41" i="3"/>
  <c r="E41" i="3"/>
  <c r="F40" i="3"/>
  <c r="E40" i="3"/>
  <c r="F39" i="3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2" i="3"/>
</calcChain>
</file>

<file path=xl/sharedStrings.xml><?xml version="1.0" encoding="utf-8"?>
<sst xmlns="http://schemas.openxmlformats.org/spreadsheetml/2006/main" count="2058" uniqueCount="833">
  <si>
    <t>CSV Path</t>
    <phoneticPr fontId="1" type="noConversion"/>
  </si>
  <si>
    <t>ID</t>
  </si>
  <si>
    <t>ColorID</t>
  </si>
  <si>
    <t>MinSPI</t>
  </si>
  <si>
    <t>MaxSPI</t>
  </si>
  <si>
    <t>Name</t>
  </si>
  <si>
    <t>Desc</t>
  </si>
  <si>
    <t>RayGun</t>
  </si>
  <si>
    <t>"Do you like my glowing green balls?"</t>
  </si>
  <si>
    <t>Fully automatic assualt rifle.Reduced recoil provides higher accuracy.</t>
  </si>
  <si>
    <t>AN94</t>
  </si>
  <si>
    <t>Fully automatic assualt rifle.The first 2 rounds of burst are fired at a higher accuracy.</t>
  </si>
  <si>
    <t>G36C</t>
  </si>
  <si>
    <t>Fully automatic with high rate of fire.Effective at medium range.</t>
  </si>
  <si>
    <t>Semi-automatic with three round burst fire.Effective at medium to long range.</t>
  </si>
  <si>
    <t>AK117</t>
  </si>
  <si>
    <t>AK47</t>
  </si>
  <si>
    <t>Fully automatic sniper rifle.High fire rate with low recoil.</t>
  </si>
  <si>
    <t>Barrett50</t>
  </si>
  <si>
    <t>Semi-automatic sniper rifle.Effective at long range.</t>
  </si>
  <si>
    <t>Semi-automatic sniper rifle.Deadly from the chest up,with moderate recoil</t>
  </si>
  <si>
    <t>MK48</t>
  </si>
  <si>
    <t>Fully automatic LMG.Increased damage and range.</t>
  </si>
  <si>
    <t>M249SAW</t>
  </si>
  <si>
    <t>Fully automatic with high rate of fire.Effective at medium to long range.</t>
  </si>
  <si>
    <t>Fully automatic LMG.Highest rate of fire in class</t>
  </si>
  <si>
    <t>MP7</t>
  </si>
  <si>
    <t>Fully automatic personal defense weapon.Versatile and strong overall.</t>
  </si>
  <si>
    <t>Fully automatic submachine gun.Incorporates recoil mitigation technology.</t>
  </si>
  <si>
    <t>Pump action shotgun.Strong damage and range.</t>
  </si>
  <si>
    <t>Fully automatic shotgun with high fire rate.</t>
  </si>
  <si>
    <t>Pump action shotgun.Effective at close range.</t>
  </si>
  <si>
    <t>Fully automatic with medium capacity and power.Effective at close range.</t>
  </si>
  <si>
    <t>Guided shoulder-mounted rocket launcher that can lock-on to enemy vehicles and turret.</t>
  </si>
  <si>
    <t>SMRS</t>
  </si>
  <si>
    <t>C.Eaton</t>
  </si>
  <si>
    <t>C.Padgett</t>
  </si>
  <si>
    <t>C.Pam</t>
  </si>
  <si>
    <t>C.Nathalie</t>
  </si>
  <si>
    <t>C.Mamie</t>
  </si>
  <si>
    <t>C.Edmond</t>
  </si>
  <si>
    <t>C.Abe</t>
  </si>
  <si>
    <t>C.Abbot</t>
  </si>
  <si>
    <t>C.Nash</t>
  </si>
  <si>
    <t>C.Mandy</t>
  </si>
  <si>
    <t>C.Manuel</t>
  </si>
  <si>
    <t>C.Nadine</t>
  </si>
  <si>
    <t>Eaton</t>
  </si>
  <si>
    <t>Padgett</t>
  </si>
  <si>
    <t>Pam</t>
  </si>
  <si>
    <t>Nathalie</t>
  </si>
  <si>
    <t>Mamie</t>
  </si>
  <si>
    <t>Edmond</t>
  </si>
  <si>
    <t>Abe</t>
  </si>
  <si>
    <t>Abbot</t>
  </si>
  <si>
    <t>Nash</t>
  </si>
  <si>
    <t>Mandy</t>
  </si>
  <si>
    <t>Manuel</t>
  </si>
  <si>
    <t>Nadine</t>
  </si>
  <si>
    <t>Nance</t>
  </si>
  <si>
    <t>Edison</t>
  </si>
  <si>
    <t>Aaron</t>
  </si>
  <si>
    <t>Parish</t>
  </si>
  <si>
    <t>Eason</t>
  </si>
  <si>
    <t>Maloney</t>
  </si>
  <si>
    <t>Edmund</t>
  </si>
  <si>
    <t>Naomi</t>
  </si>
  <si>
    <t>Eddy</t>
  </si>
  <si>
    <t>Pansy</t>
  </si>
  <si>
    <t>Eastman</t>
  </si>
  <si>
    <t>Marcellus</t>
  </si>
  <si>
    <t>Painter</t>
  </si>
  <si>
    <t>Early</t>
  </si>
  <si>
    <t>Malvina</t>
  </si>
  <si>
    <t>Abbott</t>
  </si>
  <si>
    <t>Edwin</t>
  </si>
  <si>
    <t>Edie</t>
  </si>
  <si>
    <t>Pagan</t>
  </si>
  <si>
    <t>Earle</t>
  </si>
  <si>
    <t>Paige</t>
  </si>
  <si>
    <t>Natalia</t>
  </si>
  <si>
    <t>Nana</t>
  </si>
  <si>
    <t>Mann</t>
  </si>
  <si>
    <t>Edgar</t>
  </si>
  <si>
    <t>Able</t>
  </si>
  <si>
    <t>Elbert</t>
  </si>
  <si>
    <t>Nancy</t>
  </si>
  <si>
    <t>Marcella</t>
  </si>
  <si>
    <t>Eddie</t>
  </si>
  <si>
    <t>Nannie</t>
  </si>
  <si>
    <t>Ableson</t>
  </si>
  <si>
    <t>Nathan</t>
  </si>
  <si>
    <t>Egan</t>
  </si>
  <si>
    <t>Napier</t>
  </si>
  <si>
    <t>Man</t>
  </si>
  <si>
    <t>Manley</t>
  </si>
  <si>
    <t>Abelard</t>
  </si>
  <si>
    <t>Nanette</t>
  </si>
  <si>
    <t>Marcia</t>
  </si>
  <si>
    <t>Manning</t>
  </si>
  <si>
    <t>Pamela</t>
  </si>
  <si>
    <t>Abdul</t>
  </si>
  <si>
    <t>Abbas</t>
  </si>
  <si>
    <t>Pandora</t>
  </si>
  <si>
    <t>Palmer</t>
  </si>
  <si>
    <t>Ab</t>
  </si>
  <si>
    <t>Ablett</t>
  </si>
  <si>
    <t>Abell</t>
  </si>
  <si>
    <t>Pack</t>
  </si>
  <si>
    <t>Natalie</t>
  </si>
  <si>
    <t>Abel</t>
  </si>
  <si>
    <t>Abner</t>
  </si>
  <si>
    <t>Eda</t>
  </si>
  <si>
    <t>Mansfield</t>
  </si>
  <si>
    <t>Napoleon</t>
  </si>
  <si>
    <t>Page</t>
  </si>
  <si>
    <t>GIGN</t>
  </si>
  <si>
    <t>FBI</t>
  </si>
  <si>
    <t>Seal6-1</t>
  </si>
  <si>
    <t>Seal6-2</t>
  </si>
  <si>
    <t>Seal6-3</t>
  </si>
  <si>
    <t>Seal6-4</t>
  </si>
  <si>
    <t>Seal6-5</t>
  </si>
  <si>
    <t>Alex Mason</t>
  </si>
  <si>
    <t>"Where am I? Where's Reznov?"</t>
  </si>
  <si>
    <t>David Mason</t>
  </si>
  <si>
    <t>"These flashes I'm getting...I know I was kidnapped the night my father died, but I could never see..."</t>
  </si>
  <si>
    <t>Frank Woods</t>
  </si>
  <si>
    <t>"YOU CAN'T KILL ME!"</t>
  </si>
  <si>
    <t>Mike Harper</t>
  </si>
  <si>
    <t>"I'm Mike Harper, a Navy SEAL."</t>
  </si>
  <si>
    <t>ISA-1</t>
  </si>
  <si>
    <t>ISA-2</t>
  </si>
  <si>
    <t>Yemeni Militia</t>
  </si>
  <si>
    <t>Tian Zhao</t>
  </si>
  <si>
    <t>"I'll take you to the leader of the Mujahideen."</t>
  </si>
  <si>
    <t>Nikolai</t>
  </si>
  <si>
    <t>"Da - I know a place."</t>
  </si>
  <si>
    <t>Gaz</t>
  </si>
  <si>
    <t>"I like to keep this for close-encounters."</t>
  </si>
  <si>
    <t>Merc-1</t>
  </si>
  <si>
    <t>Merc-2</t>
  </si>
  <si>
    <t>Merc-3</t>
  </si>
  <si>
    <t>Merc-4</t>
  </si>
  <si>
    <t>Merc-5</t>
  </si>
  <si>
    <t>Bruce Harris</t>
  </si>
  <si>
    <t>A CIA operations officer.</t>
  </si>
  <si>
    <t>Your captain.</t>
  </si>
  <si>
    <t>Khaled</t>
  </si>
  <si>
    <t>"This, is how it begins."</t>
  </si>
  <si>
    <t>Maestas</t>
  </si>
  <si>
    <t>Sgt. Maestas is a CIA agent/US Marine.</t>
  </si>
  <si>
    <t>Dimitri Petrenko</t>
  </si>
  <si>
    <t>"After this mission, do you think we will go home?"</t>
  </si>
  <si>
    <t>Aziz</t>
  </si>
  <si>
    <t>Sergeant Aziz was one of the Marines</t>
  </si>
  <si>
    <t>Kamarov</t>
  </si>
  <si>
    <t>"Welcome to the new Russia, Captain Price."</t>
  </si>
  <si>
    <t>Lev Kravchenko</t>
  </si>
  <si>
    <t>"He's more powerful than you know. He even has people in the CIA."</t>
  </si>
  <si>
    <t>Grigori Weaver</t>
  </si>
  <si>
    <t>"You want to die with him? Your choice!"</t>
  </si>
  <si>
    <t>PerkMachine_DoubleTap</t>
  </si>
  <si>
    <t>PerkMachine_Juggernog</t>
  </si>
  <si>
    <t>PerkMachine_SpeedUp</t>
  </si>
  <si>
    <t>PerkMachine_StaminUp</t>
  </si>
  <si>
    <t>Electric Cherry</t>
  </si>
  <si>
    <t>20% Chance on reload to stun nearby enemies(1 meter) by 1 seconds.</t>
  </si>
  <si>
    <t>35% Chance on reload to stun nearby enemies(1 meter) by 1 seconds.</t>
  </si>
  <si>
    <t>60% Chance on reload to stun nearby enemies(1 meter) by 1 seconds.</t>
  </si>
  <si>
    <t>100% Chance on reload to stun nearby enemies(1 meter) by 1 seconds.</t>
  </si>
  <si>
    <t>After taking damage, increase movement speed by 10% for 2 seconds.</t>
  </si>
  <si>
    <t>After taking damage, increase movement speed by 15% for 2 seconds.</t>
  </si>
  <si>
    <t>After taking damage, increase movement speed by 25% for 2 seconds.</t>
  </si>
  <si>
    <t xml:space="preserve">After taking damage, increase movement speed by 25% and reduce damage taken by 30% for the next  2 seconds. </t>
  </si>
  <si>
    <t>Gecko</t>
  </si>
  <si>
    <t>Beefcake</t>
  </si>
  <si>
    <t>Increase melee damage by 20%</t>
  </si>
  <si>
    <t>Increase melee damage by 30%</t>
  </si>
  <si>
    <t>Increase melee attack speed by 20%. Increase melee damage by 30%</t>
  </si>
  <si>
    <t>Increase melee attack speed by 20%. Increase melee damage by 30%. Reduce melee damage taken by 25%.</t>
  </si>
  <si>
    <t>Bloodthirsty</t>
  </si>
  <si>
    <t>Every successful melee hit will recover your health by 3%</t>
  </si>
  <si>
    <t>Every successful melee hit will recover your health by 5%</t>
  </si>
  <si>
    <t>Every successful melee hit will recover your health by 7.5%</t>
  </si>
  <si>
    <t>Every successful melee hit will recover your health by 10%</t>
  </si>
  <si>
    <t>Hasten</t>
  </si>
  <si>
    <t>Character skill recharge 10% faster.</t>
  </si>
  <si>
    <t>Character skill recharge 15% faster.</t>
  </si>
  <si>
    <t>Character skill recharge 20% faster.</t>
  </si>
  <si>
    <t>Character skill recharge 25% faster.</t>
  </si>
  <si>
    <t>DoubleTap</t>
  </si>
  <si>
    <t>Juggernaut</t>
  </si>
  <si>
    <t>Agile</t>
  </si>
  <si>
    <t xml:space="preserve">Decrease raise delay 60% when you are running </t>
  </si>
  <si>
    <t xml:space="preserve">Decrease raise delay 70% when you are running </t>
  </si>
  <si>
    <t xml:space="preserve">Decrease raise delay 80% when you are running </t>
  </si>
  <si>
    <t xml:space="preserve">Decrease raise delay 90% when you are running </t>
  </si>
  <si>
    <t>Harden</t>
  </si>
  <si>
    <t>Reduce weapon sway when damaged by 30%</t>
  </si>
  <si>
    <t>Reduce weapon sway when damaged by 40%</t>
  </si>
  <si>
    <t>Reduce weapon sway when damaged by 50%</t>
  </si>
  <si>
    <t>Reduce weapon sway when damaged by 60%</t>
  </si>
  <si>
    <t>Reduce weapon sway when damaged by 70%</t>
  </si>
  <si>
    <t>Heads Up</t>
  </si>
  <si>
    <t>Carry extra ammo by 25%</t>
  </si>
  <si>
    <t>Carry extra ammo by 50%</t>
  </si>
  <si>
    <t>Scavenger</t>
  </si>
  <si>
    <t>Tracker</t>
  </si>
  <si>
    <t>Able to see enemy's footprint 4 second</t>
  </si>
  <si>
    <t>Able to see enemy's footprint 5 second</t>
  </si>
  <si>
    <t>Vulture</t>
  </si>
  <si>
    <t>Collect 50% clip ammo from dead body.</t>
  </si>
  <si>
    <t>Collect 60% clip ammo from dead body.</t>
  </si>
  <si>
    <t>Collect 70% clip ammo from dead body.</t>
  </si>
  <si>
    <t>Collect 80% clip ammo from dead body.</t>
  </si>
  <si>
    <t>Collect 100% clip ammo from dead body.</t>
  </si>
  <si>
    <t>Immune to EMP、Counter UAV</t>
  </si>
  <si>
    <t>Six Senses</t>
  </si>
  <si>
    <t xml:space="preserve">increase hearing radius. </t>
  </si>
  <si>
    <t>increase hearing radius,nearly enemy show the minimap 1.5 second later</t>
  </si>
  <si>
    <t>increase hearing radius,nearly enemy show the minimap 1 second later</t>
  </si>
  <si>
    <t>On kill or assist will trigger an sonar scan around 5 meter the dead enemy.</t>
  </si>
  <si>
    <t>On kill or assist will trigger an sonar scan around 6 meter the dead enemy.</t>
  </si>
  <si>
    <t>On kill or assist will trigger an sonar scan around 7 meter the dead enemy.</t>
  </si>
  <si>
    <t>On kill or assist will trigger an sonar scan around 8 meter the dead enemy.</t>
  </si>
  <si>
    <t>Ghost</t>
  </si>
  <si>
    <t>Unable to detect by certain tactical equipment or UAV</t>
  </si>
  <si>
    <t>Unable to detect by certain tactical equipment,land AI or UAV</t>
  </si>
  <si>
    <t>Unable to detect by certain tactical equipment,land AI,air AI or UAV</t>
  </si>
  <si>
    <t>Lightweight</t>
  </si>
  <si>
    <t>Sprint speed increase by 10%</t>
  </si>
  <si>
    <t>Sprint speed increase by 12%</t>
  </si>
  <si>
    <t>Sprint speed increase by 14%</t>
  </si>
  <si>
    <t>Sprint speed increase by 16%</t>
  </si>
  <si>
    <t>Sprint speed increase by 18%</t>
  </si>
  <si>
    <t>Hardline</t>
  </si>
  <si>
    <t>Increase score earned by 10%</t>
  </si>
  <si>
    <t>Increase score earned by 15%</t>
  </si>
  <si>
    <t>Increase score earned by 20%</t>
  </si>
  <si>
    <t>Increase score earned by 25%</t>
  </si>
  <si>
    <t>Increase score earned by 30%</t>
  </si>
  <si>
    <t>First Bonus</t>
  </si>
  <si>
    <t>Start with extra point in your scorestreak</t>
  </si>
  <si>
    <t>Blast Vest</t>
  </si>
  <si>
    <t>Reduce damage 20% from explosion</t>
  </si>
  <si>
    <t>Reduce damage 25% from explosion</t>
  </si>
  <si>
    <t>Reduce damage 30% from explosion</t>
  </si>
  <si>
    <t>Reduce damage 35% from explosion</t>
  </si>
  <si>
    <t>Increase reload speed by 25%</t>
  </si>
  <si>
    <t>Increase reload speed by 30%</t>
  </si>
  <si>
    <t>Increase reload speed by 35%</t>
  </si>
  <si>
    <t>Increase reload speed by 40%</t>
  </si>
  <si>
    <t>Increase reload and tactical equipment speed by 40%</t>
  </si>
  <si>
    <t>Persistence</t>
  </si>
  <si>
    <t>Dying does not reset scorestreak, but scorestreak score requirement increase by 250%</t>
  </si>
  <si>
    <t>Dying does not reset scorestreak, but scorestreak score requirement increase by 200%</t>
  </si>
  <si>
    <t>Fast Recover</t>
  </si>
  <si>
    <t>Reduce the time it takes to recover to full health by 20%</t>
  </si>
  <si>
    <t>Reduce the time it takes to recover to full health by 25%</t>
  </si>
  <si>
    <t>Reduce the time it takes to recover to full health by 30%</t>
  </si>
  <si>
    <t>Reduce the time it takes to recover to full health by 35%</t>
  </si>
  <si>
    <t>Reduce the time it takes to recover to full health by 40%</t>
  </si>
  <si>
    <t>Detector</t>
  </si>
  <si>
    <t>Overload</t>
  </si>
  <si>
    <t>Reduce time needed for skills by 10%</t>
  </si>
  <si>
    <t>Reduce time needed for skills by 20%</t>
  </si>
  <si>
    <t>Player：lightly movement</t>
  </si>
  <si>
    <t>Player：Silent movement</t>
  </si>
  <si>
    <t>HeadHunter</t>
  </si>
  <si>
    <t>Increase headshot damage by 30%</t>
  </si>
  <si>
    <t>Increase headshot damage by 50%</t>
  </si>
  <si>
    <t>Tactical Mask</t>
  </si>
  <si>
    <t>Reduce the effect from tactical equipment by 25%</t>
  </si>
  <si>
    <t>Reduce the effect from tactical equipment by 30%</t>
  </si>
  <si>
    <t>Reduce the effect from tactical equipment by 35%</t>
  </si>
  <si>
    <t>Reduce the effect from tactical equipment by 40%</t>
  </si>
  <si>
    <t>Reduce the effect from tactical equipment by 45%</t>
  </si>
  <si>
    <t>Demo Expert</t>
  </si>
  <si>
    <t>Increase explosive damage by 20%</t>
  </si>
  <si>
    <t>Increase explosive damage by 25%</t>
  </si>
  <si>
    <t>Increase explosive damage by 30%</t>
  </si>
  <si>
    <t>Enemy will be displayed on radar after getting shot by tactical equipment</t>
  </si>
  <si>
    <t>Enemy will be displayed on radar after getting shot by tactical equipment or lethal equipment</t>
  </si>
  <si>
    <t>Enemy will be displayed on radar after getting shot by tactical equipment,lethal equipment or gunshot</t>
  </si>
  <si>
    <t>Arsenal</t>
  </si>
  <si>
    <t>Increase tactical equipment</t>
  </si>
  <si>
    <t>Bio-Tag</t>
  </si>
  <si>
    <t>Supply(L)</t>
  </si>
  <si>
    <t>20% Chance Able to recover lethal equipment after killing an enemy.</t>
  </si>
  <si>
    <t>Supply(T)</t>
  </si>
  <si>
    <t>20% Chance able to recover tactical equipment after killing an enemy</t>
  </si>
  <si>
    <t>Engineer</t>
  </si>
  <si>
    <t>See hostile mine through wall.</t>
  </si>
  <si>
    <t>See hostile mine or deployment through wall.</t>
  </si>
  <si>
    <t>Grenade</t>
  </si>
  <si>
    <t xml:space="preserve">Explodes after a short fuse. </t>
  </si>
  <si>
    <t>Explodes after a short fuse.</t>
  </si>
  <si>
    <t>Grenade that sticks to surfaces before detonating</t>
  </si>
  <si>
    <t>Magnetic mine that detonates when an enemy interrupts the beam.</t>
  </si>
  <si>
    <t>Amazing</t>
  </si>
  <si>
    <t>Flash</t>
  </si>
  <si>
    <t>Device that blinds and deafens the target when detonated.</t>
  </si>
  <si>
    <t>Produces a smoke screen immediately upon impact</t>
  </si>
  <si>
    <t>Concussion</t>
  </si>
  <si>
    <t>EMP</t>
  </si>
  <si>
    <t>Damage and disable nearby mechanized enemy units.</t>
  </si>
  <si>
    <t>Bomb</t>
  </si>
  <si>
    <t>C4 bomb</t>
  </si>
  <si>
    <t>Red Dot-AR</t>
  </si>
  <si>
    <t>Precision red dot sight.</t>
  </si>
  <si>
    <t>Red Dot-SMG</t>
  </si>
  <si>
    <t>Red Dot-LMG</t>
  </si>
  <si>
    <t>Holographic Sight-AR</t>
  </si>
  <si>
    <t>Provides a clearer view of the target than a reflex, but with less peripheral vision.</t>
  </si>
  <si>
    <t>Holographic Sight-SMG</t>
  </si>
  <si>
    <t>Holographic Sight-LMG</t>
  </si>
  <si>
    <t>ACOG-AR</t>
  </si>
  <si>
    <t>Enhanced zoom sight.</t>
  </si>
  <si>
    <t>ACOG-SR</t>
  </si>
  <si>
    <t>Reduced recoil while aiming down the sight.</t>
  </si>
  <si>
    <t>Silencer-AR</t>
  </si>
  <si>
    <t>Prevents gunfire from showing up on enemy minimaps and makes it harder to hear and locate the position of the shooter.</t>
  </si>
  <si>
    <t>Silencer-SMG</t>
  </si>
  <si>
    <t>Silencer-LMG</t>
  </si>
  <si>
    <t>Silencer-SR</t>
  </si>
  <si>
    <t>Silencer-SG</t>
  </si>
  <si>
    <t>Silencer-Pistol</t>
  </si>
  <si>
    <t>Extended Clip-AR</t>
  </si>
  <si>
    <t>Increases magazine capacity.</t>
  </si>
  <si>
    <t>Extended Clip-SMG</t>
  </si>
  <si>
    <t>Extended Clip-LMG</t>
  </si>
  <si>
    <t>Extended Clip-SR</t>
  </si>
  <si>
    <t>Extended Clip-SG</t>
  </si>
  <si>
    <t>Extended Clip-Pistol</t>
  </si>
  <si>
    <t>Fast Mag-AR</t>
  </si>
  <si>
    <t>Reload faster</t>
  </si>
  <si>
    <t>Fast Mag-SMG</t>
  </si>
  <si>
    <t>Fast Mag-LMG</t>
  </si>
  <si>
    <t>Fast Mag-SR</t>
  </si>
  <si>
    <t>Fast Mag-SG</t>
  </si>
  <si>
    <t>Fast Mag-Pistol</t>
  </si>
  <si>
    <t>Stock-AR</t>
  </si>
  <si>
    <t>Move faster while aiming down the sight.</t>
  </si>
  <si>
    <t>Stock-SMG</t>
  </si>
  <si>
    <t>Stock-LMG</t>
  </si>
  <si>
    <t>Stock-SR</t>
  </si>
  <si>
    <t>FMJ-AR</t>
  </si>
  <si>
    <t>Increases material penetration and damage against enemy scorestreaks.</t>
  </si>
  <si>
    <t>FMJ-SMG</t>
  </si>
  <si>
    <t>FMJ-LMG</t>
  </si>
  <si>
    <t>FMJ-SR</t>
  </si>
  <si>
    <t>FMJ-Pistol</t>
  </si>
  <si>
    <t>Laser Sight-AR</t>
  </si>
  <si>
    <t>Increases fire accuracy</t>
  </si>
  <si>
    <t>Laser Sight-SMG</t>
  </si>
  <si>
    <t>Laser Sight-LMG</t>
  </si>
  <si>
    <t>Laser Sight-SG</t>
  </si>
  <si>
    <t>Laser Sight-Pistol</t>
  </si>
  <si>
    <t>Increases fire range</t>
  </si>
  <si>
    <t>Ergonomic handle for faster aiming.</t>
  </si>
  <si>
    <t>Zoom-SR</t>
  </si>
  <si>
    <t>While scoped in,can adjust between 2 different zoom levels</t>
  </si>
  <si>
    <t>Relentless</t>
  </si>
  <si>
    <t>Increase 20% move speed for 4 seconds when you reborn.</t>
  </si>
  <si>
    <t>Refresher</t>
  </si>
  <si>
    <t>Increase weapon reload speed by 40% if weapon made a kill.</t>
  </si>
  <si>
    <t>DeathBringer</t>
  </si>
  <si>
    <t xml:space="preserve">Double kills your magazine will be filled instantly </t>
  </si>
  <si>
    <t>Kickback</t>
  </si>
  <si>
    <t>50% chance to add one bullets into your clip if weapon made a kill</t>
  </si>
  <si>
    <t>Tag</t>
  </si>
  <si>
    <t>Outline enemies 0.5 second when dealing or taking weapon damage</t>
  </si>
  <si>
    <t>Stability</t>
  </si>
  <si>
    <t>Reduce weapon sway when aiming</t>
  </si>
  <si>
    <t>MunitionStash</t>
  </si>
  <si>
    <t>50% chance to resupply one lethal grenade when you made a double kills</t>
  </si>
  <si>
    <t>Burst</t>
  </si>
  <si>
    <t>Increase 15% move speed for 2.5 seconds when you made a kill</t>
  </si>
  <si>
    <t>DeepWound</t>
  </si>
  <si>
    <t>The enemies are hit can't recover within 8 seconds</t>
  </si>
  <si>
    <t>Increase 15% move speed for 4 seconds when you made a kill</t>
  </si>
  <si>
    <t>Increase 30% move speed for 4 seconds when you reborn.</t>
  </si>
  <si>
    <t>Increase weapon reload speed by 70% if weapon made a kill.</t>
  </si>
  <si>
    <t>100% chance to add one bullets into your clip if weapon made a kill</t>
  </si>
  <si>
    <t>Outline enemies 1.5 second when dealing or taking weapon damage</t>
  </si>
  <si>
    <t>No weapon sway when aiming</t>
  </si>
  <si>
    <t>50% chance to resupply one lethal grenade when you made a three continuous kills</t>
  </si>
  <si>
    <t>Vampiric</t>
  </si>
  <si>
    <t>Hit enemies can recover 25 health.This effect can only be triggered once in 15 seconds</t>
  </si>
  <si>
    <t>CustomMunition</t>
  </si>
  <si>
    <t xml:space="preserve">Greatly increase weapon fire range. </t>
  </si>
  <si>
    <t>OneShot</t>
  </si>
  <si>
    <t>Increase first bullet damage of each clip</t>
  </si>
  <si>
    <t>Bleeding</t>
  </si>
  <si>
    <t>Steady Fire</t>
  </si>
  <si>
    <t>slowly reduce recoil and increase accuracy as long as the fire button is held down. (reach cap after 20 rounds)</t>
  </si>
  <si>
    <t>slowly reduce recoil and increase accuracy as long as the fire button is held down. (reach cap after 15 rounds)</t>
  </si>
  <si>
    <t>Increase the damage on last 1 round of each magazine by 30%</t>
  </si>
  <si>
    <t>Increase the damage on last 1 round of each magazine by 40%</t>
  </si>
  <si>
    <t>Increase the damage on last 1 round of each magazine by 50%</t>
  </si>
  <si>
    <t>Skillful Killer</t>
  </si>
  <si>
    <t>Burst of Adrenaline</t>
  </si>
  <si>
    <t>Increase weapon reload speed by 20% if weapon made a zombie kill.</t>
  </si>
  <si>
    <t>Increase weapon reload speed by 35% if weapon made a zombie kill.</t>
  </si>
  <si>
    <t>Increase weapon reload speed by 50% if weapon made a zombie kill.</t>
  </si>
  <si>
    <t>Boomerang</t>
  </si>
  <si>
    <t>50% chance on Kill by headshot will refund 1 bullet to your magazine.</t>
  </si>
  <si>
    <t>100% chance on Kill by headshot will refund 1 bullet to your magazine.</t>
  </si>
  <si>
    <t xml:space="preserve">100% chance on Kill by headshot will refund 1 bullet to your magazine. Also Increase your next shot damage by 25% </t>
  </si>
  <si>
    <t>Alpha Strike</t>
  </si>
  <si>
    <t>First round of your magazine deals 25% extra damage.</t>
  </si>
  <si>
    <t>First round of your magazine deals 50% extra damage.</t>
  </si>
  <si>
    <t>First 2 round of your magazine deals 50% extra damage.</t>
  </si>
  <si>
    <t>Purifier</t>
  </si>
  <si>
    <t>Flamethrower that fires a steady stream of heat,scorching enemies within close range.</t>
  </si>
  <si>
    <t>Grenade launcher with rapid fully automatic firing.</t>
  </si>
  <si>
    <t>Assualt rifle that can lock on enemies in large front sight.</t>
  </si>
  <si>
    <t>Your own personal handheld minigun that will slowly increase accuracy as long as the fire button is held down.</t>
  </si>
  <si>
    <t>A sniper rifle that can shoot heat to track bullets.</t>
  </si>
  <si>
    <t>Medic</t>
  </si>
  <si>
    <t>MetalStorm</t>
  </si>
  <si>
    <t>Deadeye</t>
  </si>
  <si>
    <t>Decoy</t>
  </si>
  <si>
    <t>Throw out a decoy on the ground that will last up to 5 seconds. Zombie target the decoy and ignoring the player.</t>
  </si>
  <si>
    <t>Throw out a decoy on the ground that will last up to 10 seconds. Zombie target the decoy and ignoring the player.</t>
  </si>
  <si>
    <t>Throw out a decoy with a bomb attached on the ground that will last up to 10 seconds. Zombie target the decoy and ignoring the player. After 10 second the bomb will explode dealing aoe damage.</t>
  </si>
  <si>
    <t>Create an armour to protect.</t>
  </si>
  <si>
    <t>Class</t>
    <phoneticPr fontId="1" type="noConversion"/>
  </si>
  <si>
    <t>SubClass2</t>
    <phoneticPr fontId="1" type="noConversion"/>
  </si>
  <si>
    <t>类型名称</t>
    <phoneticPr fontId="1" type="noConversion"/>
  </si>
  <si>
    <t>适用范围</t>
    <phoneticPr fontId="1" type="noConversion"/>
  </si>
  <si>
    <t>子类型</t>
    <phoneticPr fontId="1" type="noConversion"/>
  </si>
  <si>
    <t>Class</t>
    <phoneticPr fontId="1" type="noConversion"/>
  </si>
  <si>
    <t>SubClass1</t>
  </si>
  <si>
    <t>类型名称</t>
  </si>
  <si>
    <t>子类型名称</t>
  </si>
  <si>
    <t>ID</t>
    <phoneticPr fontId="1" type="noConversion"/>
  </si>
  <si>
    <t>分类</t>
    <phoneticPr fontId="1" type="noConversion"/>
  </si>
  <si>
    <t>枪械</t>
  </si>
  <si>
    <t>突击步枪</t>
  </si>
  <si>
    <t>PVP</t>
    <phoneticPr fontId="1" type="noConversion"/>
  </si>
  <si>
    <t>狙击枪</t>
  </si>
  <si>
    <t>PVE</t>
    <phoneticPr fontId="1" type="noConversion"/>
  </si>
  <si>
    <t>轻机枪</t>
  </si>
  <si>
    <t>冲锋枪</t>
  </si>
  <si>
    <t>散弹枪</t>
  </si>
  <si>
    <t>手枪</t>
    <phoneticPr fontId="1" type="noConversion"/>
  </si>
  <si>
    <t>发射器</t>
  </si>
  <si>
    <t>瞄具</t>
    <phoneticPr fontId="1" type="noConversion"/>
  </si>
  <si>
    <t>红点瞄准镜</t>
    <rPh sb="0" eb="1">
      <t>hong'dian</t>
    </rPh>
    <rPh sb="2" eb="3">
      <t>miao'zhun'j</t>
    </rPh>
    <phoneticPr fontId="3" type="noConversion"/>
  </si>
  <si>
    <t>全息准镜</t>
    <rPh sb="0" eb="1">
      <t>zhi'neng</t>
    </rPh>
    <rPh sb="2" eb="3">
      <t>quan'xijing</t>
    </rPh>
    <phoneticPr fontId="3" type="noConversion"/>
  </si>
  <si>
    <t>ACOG</t>
  </si>
  <si>
    <t>挂件</t>
  </si>
  <si>
    <t>装备</t>
    <phoneticPr fontId="1" type="noConversion"/>
  </si>
  <si>
    <t>杀伤装备</t>
    <phoneticPr fontId="1" type="noConversion"/>
  </si>
  <si>
    <t>战术装备</t>
    <phoneticPr fontId="1" type="noConversion"/>
  </si>
  <si>
    <t>Perk</t>
  </si>
  <si>
    <t>类型0</t>
    <phoneticPr fontId="1" type="noConversion"/>
  </si>
  <si>
    <t>类型1</t>
  </si>
  <si>
    <t>类型2</t>
  </si>
  <si>
    <t>类型3</t>
  </si>
  <si>
    <t>PVE Perk</t>
  </si>
  <si>
    <t>连杀奖励</t>
    <phoneticPr fontId="1" type="noConversion"/>
  </si>
  <si>
    <t>角色</t>
  </si>
  <si>
    <t>枪械技能</t>
  </si>
  <si>
    <t>Super</t>
    <phoneticPr fontId="1" type="noConversion"/>
  </si>
  <si>
    <t>Exist</t>
  </si>
  <si>
    <t>F:\COD\Client\Assets\COD_Config\Config\CSV\Common\Item</t>
    <phoneticPr fontId="1" type="noConversion"/>
  </si>
  <si>
    <t>Purifier_BR</t>
  </si>
  <si>
    <t>War Machine</t>
  </si>
  <si>
    <t>War Machine_BR</t>
  </si>
  <si>
    <t>Scythe</t>
  </si>
  <si>
    <t>Scythe_BR</t>
  </si>
  <si>
    <t>Dead Shot</t>
  </si>
  <si>
    <t>DG-2</t>
  </si>
  <si>
    <t>Type 25</t>
  </si>
  <si>
    <t>Fully automatic assualt rifle.High rate of fire with moderate recoil.</t>
  </si>
  <si>
    <t>H28</t>
  </si>
  <si>
    <t>M16</t>
  </si>
  <si>
    <t>Fully automatic assault rifle.High rate of fire, better stability with low range and shallow penetration.</t>
  </si>
  <si>
    <t>Fully automatic assault rifle.High damage with high recoil.</t>
  </si>
  <si>
    <t>ASM10</t>
  </si>
  <si>
    <t>Fully automatic assault rifle. Higher damage with modarate recoil.</t>
  </si>
  <si>
    <t>M4</t>
  </si>
  <si>
    <t>Fully automatic assualt rifle. Medium range with high accuracy.(Not available for sale or fusion.)</t>
  </si>
  <si>
    <t>Fully automatic assualt rifle. Medium range with high accuracy.</t>
  </si>
  <si>
    <t>BK57</t>
  </si>
  <si>
    <t>Fully automatic assualt rifle. Medium range with medium damage.</t>
  </si>
  <si>
    <t>LK24</t>
  </si>
  <si>
    <t>Fully automatic assualt rifle. High fire rate.Effective at medium range.</t>
  </si>
  <si>
    <t>SVU-AS</t>
  </si>
  <si>
    <t>XPR-50</t>
  </si>
  <si>
    <t>Arctic.50</t>
  </si>
  <si>
    <t>Semi-automatic sniper rifle.Faster gun elevation speed and movement speed with the gun.(Not available for sale or fusion.)</t>
  </si>
  <si>
    <t>Semi-automatic sniper rifle.Faster gun elevation speed and movement speed with the gun.</t>
  </si>
  <si>
    <t>M21EBR</t>
  </si>
  <si>
    <t>Semi-automatic sniper rifle.Higher rate of fire with better stability.</t>
  </si>
  <si>
    <t>MSR</t>
  </si>
  <si>
    <t>Semi-automatic sniper rifle. Deadly from the belly up.</t>
  </si>
  <si>
    <t>DL Q33</t>
  </si>
  <si>
    <t>S36</t>
  </si>
  <si>
    <t>S36_ZM</t>
  </si>
  <si>
    <t>UL736</t>
  </si>
  <si>
    <t>Fully automatic light machine gun, excellent performance, provide fire support in the battlefiled.</t>
  </si>
  <si>
    <t>UL736_ZM</t>
  </si>
  <si>
    <t>RPD</t>
  </si>
  <si>
    <t>Fully automatic light machine gun,moderate accuracy, suitable for middle/long distance battle.(Not available for sale or fusion.)</t>
  </si>
  <si>
    <t>Fully automatic light machine gun,moderate accuracy, suitable for middle/long distance battle.</t>
  </si>
  <si>
    <t>RPD_ZM</t>
  </si>
  <si>
    <t>M4LMG</t>
  </si>
  <si>
    <t>Fully automatic LMG. Versatile and strong overall.</t>
  </si>
  <si>
    <t>M4LMG_ZM</t>
  </si>
  <si>
    <t>Vector K10</t>
  </si>
  <si>
    <t>AKS-74U</t>
  </si>
  <si>
    <t>Fully automatic submachine gun.Terse and forceful in AK serie. Extra powerful with the 5.45 mm bullet.(Not available for sale or fusion.)</t>
  </si>
  <si>
    <t>Fully automatic submachine gun.Terse and forceful in AK serie. Extra powerful with the 5.45 mm bullet.</t>
  </si>
  <si>
    <t>Fully automatic submachine gun.Terse and forceful in AK serie. Extra powerful with the 5.46 mm bullet.</t>
  </si>
  <si>
    <t>Fully automatic submachine gun.Terse and forceful in AK serie. Extra powerful with the 5.47 mm bullet.</t>
  </si>
  <si>
    <t>Fully automatic submachine gun.Terse and forceful in AK serie. Extra powerful with the 5.48 mm bullet.</t>
  </si>
  <si>
    <t>Chicom</t>
  </si>
  <si>
    <t>3 round burst SMG. High cyclic fire rate allows for fast bursts.</t>
  </si>
  <si>
    <t>Weevil</t>
  </si>
  <si>
    <t>Full-auto SMG. Large magazine capacity with modest damage.</t>
  </si>
  <si>
    <t>PDW57</t>
  </si>
  <si>
    <t>Fully automatic personal defense weapon. Increased range and large ammo capacity.</t>
  </si>
  <si>
    <t>SkorpionEVO</t>
  </si>
  <si>
    <t>Fully automatic SMG. High rate of fire.</t>
  </si>
  <si>
    <t>MSMC</t>
  </si>
  <si>
    <t>Fully automatic submachine gun.Increased range and reduced recoil</t>
  </si>
  <si>
    <t>HG40</t>
  </si>
  <si>
    <t>Fully automatic submachine gun.Medium recoil with medium rate.</t>
  </si>
  <si>
    <t>R870 MCS</t>
  </si>
  <si>
    <t>HS2126</t>
  </si>
  <si>
    <t>BY15</t>
  </si>
  <si>
    <t>Pump action shotgun.Effective at close range.(Not available for sale or fusion.)</t>
  </si>
  <si>
    <t>HS0405</t>
  </si>
  <si>
    <t>Pump action shotgun.High fatality rate in close range with low fire rate and slow reload.</t>
  </si>
  <si>
    <t>GPAS12</t>
  </si>
  <si>
    <t>Semi-automatic shotgun following the AK serie gun structure, considerable force in close range with high fire rate.</t>
  </si>
  <si>
    <t>Striker</t>
  </si>
  <si>
    <t>Semi-automatic shotgun with higher accuracy at middle/close range.</t>
  </si>
  <si>
    <t>M1014</t>
  </si>
  <si>
    <t>Semi-automatic shotgun.High fire rate.Effective at close range.</t>
  </si>
  <si>
    <t>USP.45</t>
  </si>
  <si>
    <t>J358</t>
  </si>
  <si>
    <t>The .44 Remington Magnum, provide great power and stable firing.</t>
  </si>
  <si>
    <t>The .45 Remington Magnum, provide great power and stable firing.</t>
  </si>
  <si>
    <t>The .46 Remington Magnum, provide great power and stable firing.</t>
  </si>
  <si>
    <t>The .47 Remington Magnum, provide great power and stable firing.</t>
  </si>
  <si>
    <t>TMP</t>
  </si>
  <si>
    <t>Full-auto machine pistol. Medium fire rate with modest damage.</t>
  </si>
  <si>
    <t>MW11</t>
  </si>
  <si>
    <t>Semi-automatic with medium capacity and power.</t>
  </si>
  <si>
    <t>Bowie Knife</t>
  </si>
  <si>
    <t>Zombie exclusive close range weapon, deal high damage to the enemies in front all at once.</t>
  </si>
  <si>
    <t>Knife</t>
  </si>
  <si>
    <t>Tactical Knife</t>
  </si>
  <si>
    <t>Axe</t>
  </si>
  <si>
    <t>Effective at close-range. Switch to this weapon for auto attack.</t>
  </si>
  <si>
    <t>Shovel</t>
  </si>
  <si>
    <t>FHJ-18</t>
  </si>
  <si>
    <t>Disposable rocket launcher for solo, high accuracy, fire without locking onto the target.</t>
  </si>
  <si>
    <t>A soldier of the GIGN.</t>
  </si>
  <si>
    <t>A soldier of the FBI.</t>
  </si>
  <si>
    <t>A soldier of the SEAL Team Six.</t>
  </si>
  <si>
    <t>A soldier of the SEAL Team Six.(Can not be sold and used in fusion.)</t>
  </si>
  <si>
    <t>A soldier of the ISA.</t>
  </si>
  <si>
    <t>A soldier of the Yemeni Militia.</t>
  </si>
  <si>
    <t>A Mercenary soldier.</t>
  </si>
  <si>
    <t>Captain</t>
  </si>
  <si>
    <t>Soldier</t>
  </si>
  <si>
    <t>An ordinary soldier.</t>
  </si>
  <si>
    <t>An ordinary soldier.(Can not be sold and used in fusion.)</t>
  </si>
  <si>
    <t>Police</t>
  </si>
  <si>
    <t>A member of the Police</t>
  </si>
  <si>
    <t>Nikita Dragovich</t>
  </si>
  <si>
    <t>"He will know suffering beyond his darkest fears. I have plans for you, American."</t>
  </si>
  <si>
    <t>Javier Salazar</t>
  </si>
  <si>
    <t>"Today is a difficult day, Section. But tomorrow, we all win."</t>
  </si>
  <si>
    <t>Terrance Brooks</t>
  </si>
  <si>
    <t>"Poor bastards..."</t>
  </si>
  <si>
    <t>Soap</t>
  </si>
  <si>
    <t>"Plan is pretty simple: Get stronger than before."</t>
  </si>
  <si>
    <t>Vasquez</t>
  </si>
  <si>
    <t>"Everyone, hang on!"</t>
  </si>
  <si>
    <t>Price</t>
  </si>
  <si>
    <t>"Right… What the hell kind of name is Soap, eh? How'd a muppet like you pass Selection?"</t>
  </si>
  <si>
    <t>"Let's do this!"</t>
  </si>
  <si>
    <t>Pelayo</t>
  </si>
  <si>
    <t>"Outlaw, this is Deadly. Refueled and fully loaded. You guys miss me?"</t>
  </si>
  <si>
    <t>Yuri</t>
  </si>
  <si>
    <t>"Zakhaev never forgot what we did for him that day. Our reward was power, but power corrupts."</t>
  </si>
  <si>
    <t>Swift</t>
  </si>
  <si>
    <t>"What the fuck's wrong with you?"</t>
  </si>
  <si>
    <t>Thomas Merrick</t>
  </si>
  <si>
    <t>"You look lost."</t>
  </si>
  <si>
    <t>Cuba Soldier</t>
  </si>
  <si>
    <t>A soldier of Cuba.</t>
  </si>
  <si>
    <t>Grinch</t>
  </si>
  <si>
    <t>A special forces operator</t>
  </si>
  <si>
    <t>FBI-2</t>
  </si>
  <si>
    <t>FBI-3</t>
  </si>
  <si>
    <t>FBI-4</t>
  </si>
  <si>
    <t>FBI-5</t>
  </si>
  <si>
    <t>Seal6-Veteran</t>
  </si>
  <si>
    <t>A veteran of the SEAL Team Six.</t>
  </si>
  <si>
    <t>A veteran of the SEAL Team Six.(Can not be sold and used in fusion.)</t>
  </si>
  <si>
    <t>FBI-1</t>
  </si>
  <si>
    <t>Merc(V)-1</t>
  </si>
  <si>
    <t>A Mercenary veteran.</t>
  </si>
  <si>
    <t>Merc(V)-2</t>
  </si>
  <si>
    <t>Merc(V)-3</t>
  </si>
  <si>
    <t>Merc(V)-4</t>
  </si>
  <si>
    <t>Merc(V)-5</t>
  </si>
  <si>
    <t>N1.Eaton</t>
  </si>
  <si>
    <t>N1.Padgett</t>
  </si>
  <si>
    <t>N1.Pam</t>
  </si>
  <si>
    <t>N1.Nathalie</t>
  </si>
  <si>
    <t>N1.Mamie</t>
  </si>
  <si>
    <t>N1.Edmond</t>
  </si>
  <si>
    <t>N1.Abe</t>
  </si>
  <si>
    <t>N1.Abbot</t>
  </si>
  <si>
    <t>N1.Nash</t>
  </si>
  <si>
    <t>N1.Mandy</t>
  </si>
  <si>
    <t>N1.Manuel</t>
  </si>
  <si>
    <t>N1.Nadine</t>
  </si>
  <si>
    <t>N2.Abe</t>
  </si>
  <si>
    <t>N2.Abbot</t>
  </si>
  <si>
    <t>N2.Nash</t>
  </si>
  <si>
    <t>N2.Mandy</t>
  </si>
  <si>
    <t>N2.Manuel</t>
  </si>
  <si>
    <t>N2.Nadine</t>
  </si>
  <si>
    <t>N2.Eaton</t>
  </si>
  <si>
    <t>N2.Padgett</t>
  </si>
  <si>
    <t>N2.Pam</t>
  </si>
  <si>
    <t>N2.Nathalie</t>
  </si>
  <si>
    <t>N2.Mamie</t>
  </si>
  <si>
    <t>N2.Edmond</t>
  </si>
  <si>
    <t>Mrec-5</t>
  </si>
  <si>
    <t>Sarah Hall</t>
  </si>
  <si>
    <t>"When people really want to bury secrets, they tend to bury bodies right along with them."</t>
  </si>
  <si>
    <t>Fleet-Foot</t>
  </si>
  <si>
    <t>Slowly regenerates lost health at 0.3% per second.</t>
  </si>
  <si>
    <t>Slowly regenerates lost health at 0.5% per second.</t>
  </si>
  <si>
    <t xml:space="preserve">Slowly regenerates lost health at 0.75% per second. </t>
  </si>
  <si>
    <t>Slowly regenerates lost health at 1% per second.</t>
  </si>
  <si>
    <t>(Zombie mode only) Increase rate of fire by 10%</t>
  </si>
  <si>
    <t>(Zombie mode only) Increase rate of fire by 15%</t>
  </si>
  <si>
    <t>(Zombie mode only) Increase rate of fire by 20%</t>
  </si>
  <si>
    <t>(Zombie mode only) Increase rate of fire by 25%</t>
  </si>
  <si>
    <t>(Zombie mode only) Increase health by 10%</t>
  </si>
  <si>
    <t>(Zombie mode only) Increase health by 20%</t>
  </si>
  <si>
    <t>(Zombie mode only) Increase health by 30%</t>
  </si>
  <si>
    <t>(Zombie mode only) Increase health by 40%</t>
  </si>
  <si>
    <t xml:space="preserve">Decrease raise delay 85% when you are running </t>
  </si>
  <si>
    <t>Extra 50 point bonus for headshot</t>
  </si>
  <si>
    <t>Extra 75 point bonus for headshot</t>
  </si>
  <si>
    <t>Arm Master</t>
  </si>
  <si>
    <t>Carry extra ammo by 37%</t>
  </si>
  <si>
    <t>Carry extra ammo by 62%</t>
  </si>
  <si>
    <t>Carry extra ammo by 75%</t>
  </si>
  <si>
    <t xml:space="preserve">Able to recover ammo every 6 second while not in combat. </t>
  </si>
  <si>
    <t xml:space="preserve">Able to recover ammo every 5 second while not in combat. </t>
  </si>
  <si>
    <t xml:space="preserve">Able to recover ammo every 4 second while not in combat. </t>
  </si>
  <si>
    <t>Hard Wired</t>
  </si>
  <si>
    <t>Active Sonar</t>
  </si>
  <si>
    <t>On kill or assist will trigger an sonar scan around 9 meter the dead enemy.</t>
  </si>
  <si>
    <t>Dexterity</t>
  </si>
  <si>
    <t>Gain a single radar sweep when a standard enemy UAV appears.</t>
  </si>
  <si>
    <t>Gain two single radar sweeps when a standard enemy UAV appears.</t>
  </si>
  <si>
    <t>Dead Silence</t>
  </si>
  <si>
    <t>Paint Shot</t>
  </si>
  <si>
    <t>Increases lethal equipment.</t>
  </si>
  <si>
    <t>Paint the target you damaged. Allow you to view target's health bar through wall by 1 second.</t>
  </si>
  <si>
    <t>Paint the target you damaged. Allow you to view target's health bar through wall by 1.5 second.</t>
  </si>
  <si>
    <t>10% Chance Able to recover lethal equipment after killing an enemy.</t>
  </si>
  <si>
    <t>15% Chance Able to recover lethal equipment after killing an enemy.</t>
  </si>
  <si>
    <t>10% Chance able to recover tactical equipment after killing an enemy</t>
  </si>
  <si>
    <t>15% Chance able to recover tactical equipment after killing an enemy</t>
  </si>
  <si>
    <t>自身射速提高X%</t>
  </si>
  <si>
    <t>Powerful</t>
  </si>
  <si>
    <t>自身伤害提高X%</t>
  </si>
  <si>
    <t>Killer</t>
  </si>
  <si>
    <t>自身弱点伤害提高X%</t>
  </si>
  <si>
    <t>自身大招能量积攒速度加快X%</t>
  </si>
  <si>
    <t>DeathBite</t>
  </si>
  <si>
    <t>每次命中敌人增加自身X%伤害，持续N秒，最多叠加M次</t>
  </si>
  <si>
    <t>增加自身X%主弹夹子弹</t>
  </si>
  <si>
    <t>Rampage</t>
  </si>
  <si>
    <t>每次击杀敌人增加自身X%伤害，持续N秒，最多叠加M次,换弹移除buff</t>
  </si>
  <si>
    <t>Ready</t>
  </si>
  <si>
    <t>每次击杀增加自身X%大招能量</t>
  </si>
  <si>
    <t>Assault</t>
  </si>
  <si>
    <t>小队成员伤害提高X%</t>
  </si>
  <si>
    <t>Boost</t>
  </si>
  <si>
    <t>小队成员弱点伤害提高X%</t>
  </si>
  <si>
    <t>Support</t>
  </si>
  <si>
    <t>每次击杀回复血量最低的队友X%血量</t>
  </si>
  <si>
    <t>提高小队成员X%的血量上限</t>
  </si>
  <si>
    <t>Physician</t>
  </si>
  <si>
    <t>自身N米范围内的队友每N秒回复X%血量</t>
  </si>
  <si>
    <t>Connection</t>
  </si>
  <si>
    <t>每次击杀回复小队X%血量</t>
  </si>
  <si>
    <t>Exsanguinate</t>
  </si>
  <si>
    <t>每次命中弱点增加自身N点大招能量</t>
  </si>
  <si>
    <t>Guardian</t>
  </si>
  <si>
    <t>自身N米范围内的队友受到的伤害减少X%</t>
  </si>
  <si>
    <t>Shield</t>
  </si>
  <si>
    <t>血量最低的队友受到的伤害减少X%，持续N秒，该效果每M秒才能触发一次</t>
  </si>
  <si>
    <t>Strong</t>
  </si>
  <si>
    <t>增加自身X%血量上限</t>
  </si>
  <si>
    <t>Shock</t>
  </si>
  <si>
    <t>自身N米范围内的敌人受到的伤害增加X%</t>
  </si>
  <si>
    <t>Supply</t>
  </si>
  <si>
    <t>每次命中弱点增加小队N点大招能量</t>
  </si>
  <si>
    <t>Vampire</t>
  </si>
  <si>
    <t>每次击杀回复自身X%血量</t>
  </si>
  <si>
    <t>每次换弹有X%几率使附近敌人眩晕N秒</t>
  </si>
  <si>
    <t>Aggressive</t>
  </si>
  <si>
    <t>盾兵perk1：每隔30秒趴下时，获得80%的趴下速度加成，持续5秒</t>
  </si>
  <si>
    <t>BackpackExpansion</t>
  </si>
  <si>
    <t>盾兵perk2：提升15%的背包容量</t>
  </si>
  <si>
    <t>BackResistance</t>
  </si>
  <si>
    <t>盾兵perk3：减少受到背部的连续子弹伤害20%</t>
  </si>
  <si>
    <t>ReduceInjuryFocus</t>
  </si>
  <si>
    <t>无人机perk1：操控无人机过程中，自身受到的非头部伤害降低35%</t>
  </si>
  <si>
    <t>PowerRunning</t>
  </si>
  <si>
    <t>无人机perk2：若侦查兵在原地停留超过10秒，则在移动时会提升20%的短跑速度，持续5秒</t>
  </si>
  <si>
    <t>Track</t>
  </si>
  <si>
    <t>无人机perk3：自身范围60米内，会发现足迹，足迹停留15秒会逐渐依次消失（仅自己可见）</t>
  </si>
  <si>
    <t>Magazine</t>
  </si>
  <si>
    <t>Perk军火库：将战术雷数量增加为2</t>
  </si>
  <si>
    <t>Monkey Bomb</t>
  </si>
  <si>
    <t>Stick Grenade</t>
  </si>
  <si>
    <t>Trip Mine</t>
  </si>
  <si>
    <t>Smoke Grenade</t>
  </si>
  <si>
    <t>Disorients enemies and slows movement</t>
  </si>
  <si>
    <t>MOLOTOV</t>
  </si>
  <si>
    <t>Ultimate MOLOTOV</t>
  </si>
  <si>
    <t>MOLOTOV in br</t>
  </si>
  <si>
    <t>Grenade Drone</t>
  </si>
  <si>
    <t>Foregrip-AR</t>
  </si>
  <si>
    <t>Foregrip-SMG</t>
  </si>
  <si>
    <t>Foregrip-LMG</t>
  </si>
  <si>
    <t>Long barrel-SMG</t>
  </si>
  <si>
    <t>Long barrel-SG</t>
  </si>
  <si>
    <t>Quickdraw-AR</t>
  </si>
  <si>
    <t>Quickdraw-SMG</t>
  </si>
  <si>
    <t>Quickdraw-LMG</t>
  </si>
  <si>
    <t>ACOG-LMG</t>
  </si>
  <si>
    <t>2XACOG</t>
  </si>
  <si>
    <t>4XACOG</t>
  </si>
  <si>
    <t>8XACOG</t>
  </si>
  <si>
    <t>RedDot</t>
  </si>
  <si>
    <t>Red dot sight for AR, SMG, LMG.</t>
  </si>
  <si>
    <t>Holographic</t>
  </si>
  <si>
    <t>Holographic sight for AR, SMG, LMG.</t>
  </si>
  <si>
    <t>4XACOG Scope</t>
  </si>
  <si>
    <t>4XACOG Scope for AR, SMG, LMG, SR.</t>
  </si>
  <si>
    <t>Foregrip</t>
  </si>
  <si>
    <t>Foregrip for AR, SMG, LMG. Reduces weapon recoil.</t>
  </si>
  <si>
    <t>Reduces a weapon's sound and makes it harder to hear and locate the position of the shooter.</t>
  </si>
  <si>
    <t>Laser Sight</t>
  </si>
  <si>
    <t>Laser Sight for AR, SMG, LMG, SG, SR. Increases hip fire accuracy.</t>
  </si>
  <si>
    <t>Laser Sight for pistol. Increases hip fire accuracy.</t>
  </si>
  <si>
    <t>Stock</t>
  </si>
  <si>
    <t>Stock for AR, SMG, LMG, SR. Move faster while aiming down the sight.</t>
  </si>
  <si>
    <t>Long barrel</t>
  </si>
  <si>
    <t>Long barrel for SMG, SG. Increases fire range.</t>
  </si>
  <si>
    <t>Quickdraw</t>
  </si>
  <si>
    <t>Quickdraw for AR, SMG, LMG, SR. Ergonomic handle for faster aiming.</t>
  </si>
  <si>
    <t>Reload faster.</t>
  </si>
  <si>
    <t>UAV</t>
  </si>
  <si>
    <t>COUNTER UAV</t>
  </si>
  <si>
    <t>PREDATOR MISSILE</t>
  </si>
  <si>
    <t>SENTRY GUN</t>
  </si>
  <si>
    <t>STEALTH CHOPPER</t>
  </si>
  <si>
    <t>HUNTER KILLER</t>
  </si>
  <si>
    <t>SAM TURRET</t>
  </si>
  <si>
    <t>UAV SP</t>
  </si>
  <si>
    <t>VTOL</t>
  </si>
  <si>
    <t>DRONE</t>
  </si>
  <si>
    <t>The enemies are hit will receive 15 damage per 2 seconds,last 4 seconds</t>
  </si>
  <si>
    <t>slowly reduce recoil and increase accuracy as long as the fire button is held down. (reach cap after 25 rounds)</t>
  </si>
  <si>
    <t>One in the Chamber</t>
  </si>
  <si>
    <t>Zombie kill made by this weapon will reduce your skill cooldown by 0.5%</t>
  </si>
  <si>
    <t>Zombie kill made by this weapon will reduce your skill cooldown by 1%</t>
  </si>
  <si>
    <t>Zombie kill made by this weapon will reduce your skill cooldown by 1.5%</t>
  </si>
  <si>
    <t>Full Auto</t>
  </si>
  <si>
    <t>+20% your squad's fire rate. Last 8 seconds.</t>
  </si>
  <si>
    <t>+25% your squad's fire rate. Last 12 seconds.</t>
  </si>
  <si>
    <t>+30% your squad's fire rate. Last 15 seconds.</t>
  </si>
  <si>
    <t>Skin Implant</t>
  </si>
  <si>
    <t>-50% damage from zombies to your squad. Last 6 seconds</t>
  </si>
  <si>
    <t>-60% damage from zombies to your squad. Last 6 seconds</t>
  </si>
  <si>
    <t>-70% damage from zombies to your squad. Last 6 seconds</t>
  </si>
  <si>
    <t>Deploy a station that heal your squad for 4% HP per second. Last 20 seconds.</t>
  </si>
  <si>
    <t>Deploy a station that heal your squad for 6% HP per second. Last 20 seconds.</t>
  </si>
  <si>
    <t>Deploy a station that heal your squad for 8% HP per second. Last 20 seconds.</t>
  </si>
  <si>
    <t>Your squad will allow weapon to be fired without any ammo in the magazine for 10 seconds.</t>
  </si>
  <si>
    <t>Your squad will allow weapon to be fired without any ammo in the magazine for 15 seconds.</t>
  </si>
  <si>
    <t>Be easy to shoot the head of zombie. Last 10 seconds.</t>
  </si>
  <si>
    <t>Be easy to shoot the head of zombie. Last 12 seconds.</t>
  </si>
  <si>
    <t>Be easy to shoot the head of zombie. Last 15 seconds.</t>
  </si>
  <si>
    <t>TransformShield</t>
  </si>
  <si>
    <t>Create a deformable shield.Last 30 seconds</t>
  </si>
  <si>
    <t>Armour Protect</t>
  </si>
  <si>
    <t>Molotov Cocktail</t>
  </si>
  <si>
    <t>Throw out a molotov cocktail which will explode to leave a damage area lasts 5 seconds, deals 250 damage and then 50 damage per second.</t>
  </si>
  <si>
    <t>Throw out a molotov cocktail which will explode to leave a damage area lasts 7 seconds, deals 250 damage and then 50 damage per second.</t>
  </si>
  <si>
    <t>Throw out a molotov cocktail which will explode to leave a damage area lasts 10 seconds, deals 250 damage and then 50 damage per second.</t>
  </si>
  <si>
    <t>Throw out a molotov cocktail which will explode to leave a damage area lasts 10 seconds, deals 290 damage and then 50 damage per second.</t>
  </si>
  <si>
    <t>Taunt</t>
  </si>
  <si>
    <t>Your own personal taunt to the zombies, and they will only attack that personal in 10 seconds.</t>
  </si>
  <si>
    <t>Your own personal taunt to the zombies, and they will only attack that personal in 10 seconds, +20% speed.</t>
  </si>
  <si>
    <t>Your own personal taunt to the zombies, and they will only attack that personal in 10 seconds, +20% speed, -20% damage from zombies.</t>
  </si>
  <si>
    <t>Your own personal taunt to the zombies, and they will only attack that personal in 12 seconds, +20% speed, -20% damage from zombies.</t>
  </si>
  <si>
    <t>First Aid</t>
  </si>
  <si>
    <t>Recover 50% your squad's HP.</t>
  </si>
  <si>
    <t>Recover 60% your squad's HP.</t>
  </si>
  <si>
    <t>Recover 65% your squad's HP.</t>
  </si>
  <si>
    <t>Recover 70% your squad's HP.</t>
  </si>
  <si>
    <t>Single Recover</t>
  </si>
  <si>
    <t>Recover 70% the HP for the teammates with lowest HP.</t>
  </si>
  <si>
    <t>Recover 75% the HP for the teammates with lowest HP.</t>
  </si>
  <si>
    <t>Recover 80% the HP for the teammates with lowest HP.</t>
  </si>
  <si>
    <t>Recover 85% the HP for the teammates with lowest HP.</t>
  </si>
  <si>
    <t>Sending a bolt of lightning at the targeted enemy. The bolt then proceeds to hit up to nine nearby enemies.</t>
  </si>
  <si>
    <t>ParanePhrine</t>
  </si>
  <si>
    <t>BlastShield</t>
  </si>
  <si>
    <t>Drone</t>
  </si>
  <si>
    <t>Use a drone to detect the enemy situation if it still has power. And be careful it can also be shot down!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</si>
</sst>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2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5</xdr:row>
          <xdr:rowOff>133350</xdr:rowOff>
        </xdr:from>
        <xdr:to>
          <xdr:col>1</xdr:col>
          <xdr:colOff>3638550</xdr:colOff>
          <xdr:row>13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读取道具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C28" sqref="C28"/>
    </sheetView>
  </sheetViews>
  <sheetFormatPr defaultRowHeight="13.5" x14ac:dyDescent="0.15"/>
  <cols>
    <col min="1" max="1" width="10.75" bestFit="1" customWidth="1"/>
    <col min="2" max="2" width="59.375" bestFit="1" customWidth="1"/>
  </cols>
  <sheetData>
    <row r="1" spans="1:2" x14ac:dyDescent="0.15">
      <c r="A1" s="1" t="s">
        <v>0</v>
      </c>
      <c r="B1" t="s">
        <v>468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main">
                <anchor moveWithCells="1" sizeWithCells="1">
                  <from>
                    <xdr:col>1</xdr:col>
                    <xdr:colOff>561975</xdr:colOff>
                    <xdr:row>5</xdr:row>
                    <xdr:rowOff>133350</xdr:rowOff>
                  </from>
                  <to>
                    <xdr:col>1</xdr:col>
                    <xdr:colOff>3638550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76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5" sqref="G15"/>
    </sheetView>
  </sheetViews>
  <sheetFormatPr defaultRowHeight="13.5" x14ac:dyDescent="0.15"/>
  <cols>
    <col min="1" max="1" width="10.5" bestFit="1" customWidth="1"/>
    <col min="2" max="2" width="11.625" bestFit="1" customWidth="1"/>
    <col min="3" max="3" width="23.875" bestFit="1" customWidth="1"/>
    <col min="4" max="4" width="65.25" customWidth="1"/>
    <col min="5" max="5" width="9.375" bestFit="1" customWidth="1"/>
    <col min="6" max="6" width="14" bestFit="1" customWidth="1"/>
    <col min="7" max="7" width="11.75" bestFit="1" customWidth="1"/>
    <col min="8" max="8" width="11.75" customWidth="1"/>
    <col min="9" max="9" width="9.75" bestFit="1" customWidth="1"/>
  </cols>
  <sheetData>
    <row r="1" spans="1:9" s="1" customFormat="1" x14ac:dyDescent="0.15">
      <c r="A1" s="1" t="s">
        <v>1</v>
      </c>
      <c r="B1" s="1" t="s">
        <v>2</v>
      </c>
      <c r="C1" s="1" t="s">
        <v>5</v>
      </c>
      <c r="D1" s="1" t="s">
        <v>6</v>
      </c>
      <c r="E1" s="1" t="s">
        <v>428</v>
      </c>
      <c r="F1" s="1" t="s">
        <v>429</v>
      </c>
      <c r="G1" s="1" t="s">
        <v>430</v>
      </c>
      <c r="H1" s="1" t="s">
        <v>431</v>
      </c>
      <c r="I1" s="1" t="s">
        <v>432</v>
      </c>
    </row>
    <row r="2" spans="1:9" x14ac:dyDescent="0.15">
      <c r="A2">
        <v>10101001</v>
      </c>
      <c r="B2">
        <f>VLOOKUP(A2,'Fox1'!A:F,2,FALSE)</f>
        <v>2</v>
      </c>
      <c r="C2" t="str">
        <f>VLOOKUP(A2,'Fox1'!A:E,5,FALSE)</f>
        <v>Type 25</v>
      </c>
      <c r="D2" t="str">
        <f>VLOOKUP(A2,'Fox1'!A:F,6,FALSE)</f>
        <v>Fully automatic assualt rifle.High rate of fire with moderate recoil.</v>
      </c>
      <c r="E2">
        <f t="shared" ref="E2:E65" si="0">LEFT(A2,LEN(A2)-7)*1</f>
        <v>1</v>
      </c>
      <c r="F2">
        <f t="shared" ref="F2:F65" si="1">LEFT(A2,LEN(A2)-5)*1</f>
        <v>101</v>
      </c>
      <c r="G2" t="str">
        <f>VLOOKUP(E2,DATA!A:C,3,FALSE)</f>
        <v>枪械</v>
      </c>
      <c r="H2" t="str">
        <f>VLOOKUP(MID(A2,LEN(A2)-2,1)*1,DATA!G:H,2,FALSE)</f>
        <v>PVP</v>
      </c>
      <c r="I2" t="str">
        <f>VLOOKUP(F2,DATA!B:D,3,FALSE)</f>
        <v>突击步枪</v>
      </c>
    </row>
    <row r="3" spans="1:9" x14ac:dyDescent="0.15">
      <c r="A3">
        <v>10101002</v>
      </c>
      <c r="B3">
        <f>VLOOKUP(A3,'Fox1'!A:F,2,FALSE)</f>
        <v>3</v>
      </c>
      <c r="C3" t="str">
        <f>VLOOKUP(A3,'Fox1'!A:E,5,FALSE)</f>
        <v>Type 25</v>
      </c>
      <c r="D3" t="str">
        <f>VLOOKUP(A3,'Fox1'!A:F,6,FALSE)</f>
        <v>Fully automatic assualt rifle.High rate of fire with moderate recoil.</v>
      </c>
      <c r="E3">
        <f t="shared" si="0"/>
        <v>1</v>
      </c>
      <c r="F3">
        <f t="shared" si="1"/>
        <v>101</v>
      </c>
      <c r="G3" t="str">
        <f>VLOOKUP(E3,DATA!A:C,3,FALSE)</f>
        <v>枪械</v>
      </c>
      <c r="H3" t="str">
        <f>VLOOKUP(MID(A3,LEN(A3)-2,1)*1,DATA!G:H,2,FALSE)</f>
        <v>PVP</v>
      </c>
      <c r="I3" t="str">
        <f>VLOOKUP(F3,DATA!B:D,3,FALSE)</f>
        <v>突击步枪</v>
      </c>
    </row>
    <row r="4" spans="1:9" x14ac:dyDescent="0.15">
      <c r="A4">
        <v>10101003</v>
      </c>
      <c r="B4">
        <f>VLOOKUP(A4,'Fox1'!A:F,2,FALSE)</f>
        <v>4</v>
      </c>
      <c r="C4" t="str">
        <f>VLOOKUP(A4,'Fox1'!A:E,5,FALSE)</f>
        <v>Type 25</v>
      </c>
      <c r="D4" t="str">
        <f>VLOOKUP(A4,'Fox1'!A:F,6,FALSE)</f>
        <v>Fully automatic assualt rifle.High rate of fire with moderate recoil.</v>
      </c>
      <c r="E4">
        <f t="shared" si="0"/>
        <v>1</v>
      </c>
      <c r="F4">
        <f t="shared" si="1"/>
        <v>101</v>
      </c>
      <c r="G4" t="str">
        <f>VLOOKUP(E4,DATA!A:C,3,FALSE)</f>
        <v>枪械</v>
      </c>
      <c r="H4" t="str">
        <f>VLOOKUP(MID(A4,LEN(A4)-2,1)*1,DATA!G:H,2,FALSE)</f>
        <v>PVP</v>
      </c>
      <c r="I4" t="str">
        <f>VLOOKUP(F4,DATA!B:D,3,FALSE)</f>
        <v>突击步枪</v>
      </c>
    </row>
    <row r="5" spans="1:9" x14ac:dyDescent="0.15">
      <c r="A5">
        <v>10101004</v>
      </c>
      <c r="B5">
        <f>VLOOKUP(A5,'Fox1'!A:F,2,FALSE)</f>
        <v>5</v>
      </c>
      <c r="C5" t="str">
        <f>VLOOKUP(A5,'Fox1'!A:E,5,FALSE)</f>
        <v>Type 25</v>
      </c>
      <c r="D5" t="str">
        <f>VLOOKUP(A5,'Fox1'!A:F,6,FALSE)</f>
        <v>Fully automatic assualt rifle.High rate of fire with moderate recoil.</v>
      </c>
      <c r="E5">
        <f t="shared" si="0"/>
        <v>1</v>
      </c>
      <c r="F5">
        <f t="shared" si="1"/>
        <v>101</v>
      </c>
      <c r="G5" t="str">
        <f>VLOOKUP(E5,DATA!A:C,3,FALSE)</f>
        <v>枪械</v>
      </c>
      <c r="H5" t="str">
        <f>VLOOKUP(MID(A5,LEN(A5)-2,1)*1,DATA!G:H,2,FALSE)</f>
        <v>PVP</v>
      </c>
      <c r="I5" t="str">
        <f>VLOOKUP(F5,DATA!B:D,3,FALSE)</f>
        <v>突击步枪</v>
      </c>
    </row>
    <row r="6" spans="1:9" x14ac:dyDescent="0.15">
      <c r="A6">
        <v>10101005</v>
      </c>
      <c r="B6">
        <f>VLOOKUP(A6,'Fox1'!A:F,2,FALSE)</f>
        <v>1</v>
      </c>
      <c r="C6" t="str">
        <f>VLOOKUP(A6,'Fox1'!A:E,5,FALSE)</f>
        <v>Type 25</v>
      </c>
      <c r="D6" t="str">
        <f>VLOOKUP(A6,'Fox1'!A:F,6,FALSE)</f>
        <v>Fully automatic assualt rifle.High rate of fire with moderate recoil.</v>
      </c>
      <c r="E6">
        <f t="shared" si="0"/>
        <v>1</v>
      </c>
      <c r="F6">
        <f t="shared" si="1"/>
        <v>101</v>
      </c>
      <c r="G6" t="str">
        <f>VLOOKUP(E6,DATA!A:C,3,FALSE)</f>
        <v>枪械</v>
      </c>
      <c r="H6" t="str">
        <f>VLOOKUP(MID(A6,LEN(A6)-2,1)*1,DATA!G:H,2,FALSE)</f>
        <v>PVP</v>
      </c>
      <c r="I6" t="str">
        <f>VLOOKUP(F6,DATA!B:D,3,FALSE)</f>
        <v>突击步枪</v>
      </c>
    </row>
    <row r="7" spans="1:9" x14ac:dyDescent="0.15">
      <c r="A7">
        <v>10102001</v>
      </c>
      <c r="B7">
        <f>VLOOKUP(A7,'Fox1'!A:F,2,FALSE)</f>
        <v>2</v>
      </c>
      <c r="C7" t="str">
        <f>VLOOKUP(A7,'Fox1'!A:E,5,FALSE)</f>
        <v>H28</v>
      </c>
      <c r="D7" t="str">
        <f>VLOOKUP(A7,'Fox1'!A:F,6,FALSE)</f>
        <v>Fully automatic assualt rifle.Reduced recoil provides higher accuracy.</v>
      </c>
      <c r="E7">
        <f t="shared" si="0"/>
        <v>1</v>
      </c>
      <c r="F7">
        <f t="shared" si="1"/>
        <v>101</v>
      </c>
      <c r="G7" t="str">
        <f>VLOOKUP(E7,DATA!A:C,3,FALSE)</f>
        <v>枪械</v>
      </c>
      <c r="H7" t="str">
        <f>VLOOKUP(MID(A7,LEN(A7)-2,1)*1,DATA!G:H,2,FALSE)</f>
        <v>PVP</v>
      </c>
      <c r="I7" t="str">
        <f>VLOOKUP(F7,DATA!B:D,3,FALSE)</f>
        <v>突击步枪</v>
      </c>
    </row>
    <row r="8" spans="1:9" x14ac:dyDescent="0.15">
      <c r="A8">
        <v>10102002</v>
      </c>
      <c r="B8">
        <f>VLOOKUP(A8,'Fox1'!A:F,2,FALSE)</f>
        <v>3</v>
      </c>
      <c r="C8" t="str">
        <f>VLOOKUP(A8,'Fox1'!A:E,5,FALSE)</f>
        <v>H28</v>
      </c>
      <c r="D8" t="str">
        <f>VLOOKUP(A8,'Fox1'!A:F,6,FALSE)</f>
        <v>Fully automatic assualt rifle.Reduced recoil provides higher accuracy.</v>
      </c>
      <c r="E8">
        <f t="shared" si="0"/>
        <v>1</v>
      </c>
      <c r="F8">
        <f t="shared" si="1"/>
        <v>101</v>
      </c>
      <c r="G8" t="str">
        <f>VLOOKUP(E8,DATA!A:C,3,FALSE)</f>
        <v>枪械</v>
      </c>
      <c r="H8" t="str">
        <f>VLOOKUP(MID(A8,LEN(A8)-2,1)*1,DATA!G:H,2,FALSE)</f>
        <v>PVP</v>
      </c>
      <c r="I8" t="str">
        <f>VLOOKUP(F8,DATA!B:D,3,FALSE)</f>
        <v>突击步枪</v>
      </c>
    </row>
    <row r="9" spans="1:9" x14ac:dyDescent="0.15">
      <c r="A9">
        <v>10102003</v>
      </c>
      <c r="B9">
        <f>VLOOKUP(A9,'Fox1'!A:F,2,FALSE)</f>
        <v>4</v>
      </c>
      <c r="C9" t="str">
        <f>VLOOKUP(A9,'Fox1'!A:E,5,FALSE)</f>
        <v>H28</v>
      </c>
      <c r="D9" t="str">
        <f>VLOOKUP(A9,'Fox1'!A:F,6,FALSE)</f>
        <v>Fully automatic assualt rifle.Reduced recoil provides higher accuracy.</v>
      </c>
      <c r="E9">
        <f t="shared" si="0"/>
        <v>1</v>
      </c>
      <c r="F9">
        <f t="shared" si="1"/>
        <v>101</v>
      </c>
      <c r="G9" t="str">
        <f>VLOOKUP(E9,DATA!A:C,3,FALSE)</f>
        <v>枪械</v>
      </c>
      <c r="H9" t="str">
        <f>VLOOKUP(MID(A9,LEN(A9)-2,1)*1,DATA!G:H,2,FALSE)</f>
        <v>PVP</v>
      </c>
      <c r="I9" t="str">
        <f>VLOOKUP(F9,DATA!B:D,3,FALSE)</f>
        <v>突击步枪</v>
      </c>
    </row>
    <row r="10" spans="1:9" x14ac:dyDescent="0.15">
      <c r="A10">
        <v>10102004</v>
      </c>
      <c r="B10">
        <f>VLOOKUP(A10,'Fox1'!A:F,2,FALSE)</f>
        <v>5</v>
      </c>
      <c r="C10" t="str">
        <f>VLOOKUP(A10,'Fox1'!A:E,5,FALSE)</f>
        <v>H28</v>
      </c>
      <c r="D10" t="str">
        <f>VLOOKUP(A10,'Fox1'!A:F,6,FALSE)</f>
        <v>Fully automatic assualt rifle.Reduced recoil provides higher accuracy.</v>
      </c>
      <c r="E10">
        <f t="shared" si="0"/>
        <v>1</v>
      </c>
      <c r="F10">
        <f t="shared" si="1"/>
        <v>101</v>
      </c>
      <c r="G10" t="str">
        <f>VLOOKUP(E10,DATA!A:C,3,FALSE)</f>
        <v>枪械</v>
      </c>
      <c r="H10" t="str">
        <f>VLOOKUP(MID(A10,LEN(A10)-2,1)*1,DATA!G:H,2,FALSE)</f>
        <v>PVP</v>
      </c>
      <c r="I10" t="str">
        <f>VLOOKUP(F10,DATA!B:D,3,FALSE)</f>
        <v>突击步枪</v>
      </c>
    </row>
    <row r="11" spans="1:9" x14ac:dyDescent="0.15">
      <c r="A11">
        <v>10102005</v>
      </c>
      <c r="B11">
        <f>VLOOKUP(A11,'Fox1'!A:F,2,FALSE)</f>
        <v>1</v>
      </c>
      <c r="C11" t="str">
        <f>VLOOKUP(A11,'Fox1'!A:E,5,FALSE)</f>
        <v>H28</v>
      </c>
      <c r="D11" t="str">
        <f>VLOOKUP(A11,'Fox1'!A:F,6,FALSE)</f>
        <v>Fully automatic assualt rifle.Reduced recoil provides higher accuracy.</v>
      </c>
      <c r="E11">
        <f t="shared" si="0"/>
        <v>1</v>
      </c>
      <c r="F11">
        <f t="shared" si="1"/>
        <v>101</v>
      </c>
      <c r="G11" t="str">
        <f>VLOOKUP(E11,DATA!A:C,3,FALSE)</f>
        <v>枪械</v>
      </c>
      <c r="H11" t="str">
        <f>VLOOKUP(MID(A11,LEN(A11)-2,1)*1,DATA!G:H,2,FALSE)</f>
        <v>PVP</v>
      </c>
      <c r="I11" t="str">
        <f>VLOOKUP(F11,DATA!B:D,3,FALSE)</f>
        <v>突击步枪</v>
      </c>
    </row>
    <row r="12" spans="1:9" x14ac:dyDescent="0.15">
      <c r="A12">
        <v>10103001</v>
      </c>
      <c r="B12">
        <f>VLOOKUP(A12,'Fox1'!A:F,2,FALSE)</f>
        <v>2</v>
      </c>
      <c r="C12" t="str">
        <f>VLOOKUP(A12,'Fox1'!A:E,5,FALSE)</f>
        <v>AN94</v>
      </c>
      <c r="D12" t="str">
        <f>VLOOKUP(A12,'Fox1'!A:F,6,FALSE)</f>
        <v>Fully automatic assualt rifle.The first 2 rounds of burst are fired at a higher accuracy.</v>
      </c>
      <c r="E12">
        <f t="shared" si="0"/>
        <v>1</v>
      </c>
      <c r="F12">
        <f t="shared" si="1"/>
        <v>101</v>
      </c>
      <c r="G12" t="str">
        <f>VLOOKUP(E12,DATA!A:C,3,FALSE)</f>
        <v>枪械</v>
      </c>
      <c r="H12" t="str">
        <f>VLOOKUP(MID(A12,LEN(A12)-2,1)*1,DATA!G:H,2,FALSE)</f>
        <v>PVP</v>
      </c>
      <c r="I12" t="str">
        <f>VLOOKUP(F12,DATA!B:D,3,FALSE)</f>
        <v>突击步枪</v>
      </c>
    </row>
    <row r="13" spans="1:9" x14ac:dyDescent="0.15">
      <c r="A13">
        <v>10103002</v>
      </c>
      <c r="B13">
        <f>VLOOKUP(A13,'Fox1'!A:F,2,FALSE)</f>
        <v>3</v>
      </c>
      <c r="C13" t="str">
        <f>VLOOKUP(A13,'Fox1'!A:E,5,FALSE)</f>
        <v>AN94</v>
      </c>
      <c r="D13" t="str">
        <f>VLOOKUP(A13,'Fox1'!A:F,6,FALSE)</f>
        <v>Fully automatic assualt rifle.The first 2 rounds of burst are fired at a higher accuracy.</v>
      </c>
      <c r="E13">
        <f t="shared" si="0"/>
        <v>1</v>
      </c>
      <c r="F13">
        <f t="shared" si="1"/>
        <v>101</v>
      </c>
      <c r="G13" t="str">
        <f>VLOOKUP(E13,DATA!A:C,3,FALSE)</f>
        <v>枪械</v>
      </c>
      <c r="H13" t="str">
        <f>VLOOKUP(MID(A13,LEN(A13)-2,1)*1,DATA!G:H,2,FALSE)</f>
        <v>PVP</v>
      </c>
      <c r="I13" t="str">
        <f>VLOOKUP(F13,DATA!B:D,3,FALSE)</f>
        <v>突击步枪</v>
      </c>
    </row>
    <row r="14" spans="1:9" x14ac:dyDescent="0.15">
      <c r="A14">
        <v>10103003</v>
      </c>
      <c r="B14">
        <f>VLOOKUP(A14,'Fox1'!A:F,2,FALSE)</f>
        <v>4</v>
      </c>
      <c r="C14" t="str">
        <f>VLOOKUP(A14,'Fox1'!A:E,5,FALSE)</f>
        <v>AN94</v>
      </c>
      <c r="D14" t="str">
        <f>VLOOKUP(A14,'Fox1'!A:F,6,FALSE)</f>
        <v>Fully automatic assualt rifle.The first 2 rounds of burst are fired at a higher accuracy.</v>
      </c>
      <c r="E14">
        <f t="shared" si="0"/>
        <v>1</v>
      </c>
      <c r="F14">
        <f t="shared" si="1"/>
        <v>101</v>
      </c>
      <c r="G14" t="str">
        <f>VLOOKUP(E14,DATA!A:C,3,FALSE)</f>
        <v>枪械</v>
      </c>
      <c r="H14" t="str">
        <f>VLOOKUP(MID(A14,LEN(A14)-2,1)*1,DATA!G:H,2,FALSE)</f>
        <v>PVP</v>
      </c>
      <c r="I14" t="str">
        <f>VLOOKUP(F14,DATA!B:D,3,FALSE)</f>
        <v>突击步枪</v>
      </c>
    </row>
    <row r="15" spans="1:9" x14ac:dyDescent="0.15">
      <c r="A15">
        <v>10103004</v>
      </c>
      <c r="B15">
        <f>VLOOKUP(A15,'Fox1'!A:F,2,FALSE)</f>
        <v>1</v>
      </c>
      <c r="C15" t="str">
        <f>VLOOKUP(A15,'Fox1'!A:E,5,FALSE)</f>
        <v>AN94</v>
      </c>
      <c r="D15" t="str">
        <f>VLOOKUP(A15,'Fox1'!A:F,6,FALSE)</f>
        <v>Fully automatic assualt rifle.The first 2 rounds of burst are fired at a higher accuracy.</v>
      </c>
      <c r="E15">
        <f t="shared" si="0"/>
        <v>1</v>
      </c>
      <c r="F15">
        <f t="shared" si="1"/>
        <v>101</v>
      </c>
      <c r="G15" t="str">
        <f>VLOOKUP(E15,DATA!A:C,3,FALSE)</f>
        <v>枪械</v>
      </c>
      <c r="H15" t="str">
        <f>VLOOKUP(MID(A15,LEN(A15)-2,1)*1,DATA!G:H,2,FALSE)</f>
        <v>PVP</v>
      </c>
      <c r="I15" t="str">
        <f>VLOOKUP(F15,DATA!B:D,3,FALSE)</f>
        <v>突击步枪</v>
      </c>
    </row>
    <row r="16" spans="1:9" x14ac:dyDescent="0.15">
      <c r="A16">
        <v>10104001</v>
      </c>
      <c r="B16">
        <f>VLOOKUP(A16,'Fox1'!A:F,2,FALSE)</f>
        <v>2</v>
      </c>
      <c r="C16" t="str">
        <f>VLOOKUP(A16,'Fox1'!A:E,5,FALSE)</f>
        <v>G36C</v>
      </c>
      <c r="D16" t="str">
        <f>VLOOKUP(A16,'Fox1'!A:F,6,FALSE)</f>
        <v>Fully automatic with high rate of fire.Effective at medium range.</v>
      </c>
      <c r="E16">
        <f t="shared" si="0"/>
        <v>1</v>
      </c>
      <c r="F16">
        <f t="shared" si="1"/>
        <v>101</v>
      </c>
      <c r="G16" t="str">
        <f>VLOOKUP(E16,DATA!A:C,3,FALSE)</f>
        <v>枪械</v>
      </c>
      <c r="H16" t="str">
        <f>VLOOKUP(MID(A16,LEN(A16)-2,1)*1,DATA!G:H,2,FALSE)</f>
        <v>PVP</v>
      </c>
      <c r="I16" t="str">
        <f>VLOOKUP(F16,DATA!B:D,3,FALSE)</f>
        <v>突击步枪</v>
      </c>
    </row>
    <row r="17" spans="1:9" x14ac:dyDescent="0.15">
      <c r="A17">
        <v>10104002</v>
      </c>
      <c r="B17">
        <f>VLOOKUP(A17,'Fox1'!A:F,2,FALSE)</f>
        <v>3</v>
      </c>
      <c r="C17" t="str">
        <f>VLOOKUP(A17,'Fox1'!A:E,5,FALSE)</f>
        <v>G36C</v>
      </c>
      <c r="D17" t="str">
        <f>VLOOKUP(A17,'Fox1'!A:F,6,FALSE)</f>
        <v>Fully automatic with high rate of fire.Effective at medium range.</v>
      </c>
      <c r="E17">
        <f t="shared" si="0"/>
        <v>1</v>
      </c>
      <c r="F17">
        <f t="shared" si="1"/>
        <v>101</v>
      </c>
      <c r="G17" t="str">
        <f>VLOOKUP(E17,DATA!A:C,3,FALSE)</f>
        <v>枪械</v>
      </c>
      <c r="H17" t="str">
        <f>VLOOKUP(MID(A17,LEN(A17)-2,1)*1,DATA!G:H,2,FALSE)</f>
        <v>PVP</v>
      </c>
      <c r="I17" t="str">
        <f>VLOOKUP(F17,DATA!B:D,3,FALSE)</f>
        <v>突击步枪</v>
      </c>
    </row>
    <row r="18" spans="1:9" x14ac:dyDescent="0.15">
      <c r="A18">
        <v>10104003</v>
      </c>
      <c r="B18">
        <f>VLOOKUP(A18,'Fox1'!A:F,2,FALSE)</f>
        <v>4</v>
      </c>
      <c r="C18" t="str">
        <f>VLOOKUP(A18,'Fox1'!A:E,5,FALSE)</f>
        <v>G36C</v>
      </c>
      <c r="D18" t="str">
        <f>VLOOKUP(A18,'Fox1'!A:F,6,FALSE)</f>
        <v>Fully automatic with high rate of fire.Effective at medium range.</v>
      </c>
      <c r="E18">
        <f t="shared" si="0"/>
        <v>1</v>
      </c>
      <c r="F18">
        <f t="shared" si="1"/>
        <v>101</v>
      </c>
      <c r="G18" t="str">
        <f>VLOOKUP(E18,DATA!A:C,3,FALSE)</f>
        <v>枪械</v>
      </c>
      <c r="H18" t="str">
        <f>VLOOKUP(MID(A18,LEN(A18)-2,1)*1,DATA!G:H,2,FALSE)</f>
        <v>PVP</v>
      </c>
      <c r="I18" t="str">
        <f>VLOOKUP(F18,DATA!B:D,3,FALSE)</f>
        <v>突击步枪</v>
      </c>
    </row>
    <row r="19" spans="1:9" x14ac:dyDescent="0.15">
      <c r="A19">
        <v>10104004</v>
      </c>
      <c r="B19">
        <f>VLOOKUP(A19,'Fox1'!A:F,2,FALSE)</f>
        <v>1</v>
      </c>
      <c r="C19" t="str">
        <f>VLOOKUP(A19,'Fox1'!A:E,5,FALSE)</f>
        <v>G36C</v>
      </c>
      <c r="D19" t="str">
        <f>VLOOKUP(A19,'Fox1'!A:F,6,FALSE)</f>
        <v>Fully automatic with high rate of fire.Effective at medium range.</v>
      </c>
      <c r="E19">
        <f t="shared" si="0"/>
        <v>1</v>
      </c>
      <c r="F19">
        <f t="shared" si="1"/>
        <v>101</v>
      </c>
      <c r="G19" t="str">
        <f>VLOOKUP(E19,DATA!A:C,3,FALSE)</f>
        <v>枪械</v>
      </c>
      <c r="H19" t="str">
        <f>VLOOKUP(MID(A19,LEN(A19)-2,1)*1,DATA!G:H,2,FALSE)</f>
        <v>PVP</v>
      </c>
      <c r="I19" t="str">
        <f>VLOOKUP(F19,DATA!B:D,3,FALSE)</f>
        <v>突击步枪</v>
      </c>
    </row>
    <row r="20" spans="1:9" x14ac:dyDescent="0.15">
      <c r="A20">
        <v>10105001</v>
      </c>
      <c r="B20">
        <f>VLOOKUP(A20,'Fox1'!A:F,2,FALSE)</f>
        <v>2</v>
      </c>
      <c r="C20" t="str">
        <f>VLOOKUP(A20,'Fox1'!A:E,5,FALSE)</f>
        <v>M16</v>
      </c>
      <c r="D20" t="str">
        <f>VLOOKUP(A20,'Fox1'!A:F,6,FALSE)</f>
        <v>Semi-automatic with three round burst fire.Effective at medium to long range.</v>
      </c>
      <c r="E20">
        <f t="shared" si="0"/>
        <v>1</v>
      </c>
      <c r="F20">
        <f t="shared" si="1"/>
        <v>101</v>
      </c>
      <c r="G20" t="str">
        <f>VLOOKUP(E20,DATA!A:C,3,FALSE)</f>
        <v>枪械</v>
      </c>
      <c r="H20" t="str">
        <f>VLOOKUP(MID(A20,LEN(A20)-2,1)*1,DATA!G:H,2,FALSE)</f>
        <v>PVP</v>
      </c>
      <c r="I20" t="str">
        <f>VLOOKUP(F20,DATA!B:D,3,FALSE)</f>
        <v>突击步枪</v>
      </c>
    </row>
    <row r="21" spans="1:9" x14ac:dyDescent="0.15">
      <c r="A21">
        <v>10105002</v>
      </c>
      <c r="B21">
        <f>VLOOKUP(A21,'Fox1'!A:F,2,FALSE)</f>
        <v>3</v>
      </c>
      <c r="C21" t="str">
        <f>VLOOKUP(A21,'Fox1'!A:E,5,FALSE)</f>
        <v>M16</v>
      </c>
      <c r="D21" t="str">
        <f>VLOOKUP(A21,'Fox1'!A:F,6,FALSE)</f>
        <v>Semi-automatic with three round burst fire.Effective at medium to long range.</v>
      </c>
      <c r="E21">
        <f t="shared" si="0"/>
        <v>1</v>
      </c>
      <c r="F21">
        <f t="shared" si="1"/>
        <v>101</v>
      </c>
      <c r="G21" t="str">
        <f>VLOOKUP(E21,DATA!A:C,3,FALSE)</f>
        <v>枪械</v>
      </c>
      <c r="H21" t="str">
        <f>VLOOKUP(MID(A21,LEN(A21)-2,1)*1,DATA!G:H,2,FALSE)</f>
        <v>PVP</v>
      </c>
      <c r="I21" t="str">
        <f>VLOOKUP(F21,DATA!B:D,3,FALSE)</f>
        <v>突击步枪</v>
      </c>
    </row>
    <row r="22" spans="1:9" x14ac:dyDescent="0.15">
      <c r="A22">
        <v>10105003</v>
      </c>
      <c r="B22">
        <f>VLOOKUP(A22,'Fox1'!A:F,2,FALSE)</f>
        <v>4</v>
      </c>
      <c r="C22" t="str">
        <f>VLOOKUP(A22,'Fox1'!A:E,5,FALSE)</f>
        <v>M16</v>
      </c>
      <c r="D22" t="str">
        <f>VLOOKUP(A22,'Fox1'!A:F,6,FALSE)</f>
        <v>Semi-automatic with three round burst fire.Effective at medium to long range.</v>
      </c>
      <c r="E22">
        <f t="shared" si="0"/>
        <v>1</v>
      </c>
      <c r="F22">
        <f t="shared" si="1"/>
        <v>101</v>
      </c>
      <c r="G22" t="str">
        <f>VLOOKUP(E22,DATA!A:C,3,FALSE)</f>
        <v>枪械</v>
      </c>
      <c r="H22" t="str">
        <f>VLOOKUP(MID(A22,LEN(A22)-2,1)*1,DATA!G:H,2,FALSE)</f>
        <v>PVP</v>
      </c>
      <c r="I22" t="str">
        <f>VLOOKUP(F22,DATA!B:D,3,FALSE)</f>
        <v>突击步枪</v>
      </c>
    </row>
    <row r="23" spans="1:9" x14ac:dyDescent="0.15">
      <c r="A23">
        <v>10105004</v>
      </c>
      <c r="B23">
        <f>VLOOKUP(A23,'Fox1'!A:F,2,FALSE)</f>
        <v>1</v>
      </c>
      <c r="C23" t="str">
        <f>VLOOKUP(A23,'Fox1'!A:E,5,FALSE)</f>
        <v>M16</v>
      </c>
      <c r="D23" t="str">
        <f>VLOOKUP(A23,'Fox1'!A:F,6,FALSE)</f>
        <v>Semi-automatic with three round burst fire.Effective at medium to long range.</v>
      </c>
      <c r="E23">
        <f t="shared" si="0"/>
        <v>1</v>
      </c>
      <c r="F23">
        <f t="shared" si="1"/>
        <v>101</v>
      </c>
      <c r="G23" t="str">
        <f>VLOOKUP(E23,DATA!A:C,3,FALSE)</f>
        <v>枪械</v>
      </c>
      <c r="H23" t="str">
        <f>VLOOKUP(MID(A23,LEN(A23)-2,1)*1,DATA!G:H,2,FALSE)</f>
        <v>PVP</v>
      </c>
      <c r="I23" t="str">
        <f>VLOOKUP(F23,DATA!B:D,3,FALSE)</f>
        <v>突击步枪</v>
      </c>
    </row>
    <row r="24" spans="1:9" x14ac:dyDescent="0.15">
      <c r="A24">
        <v>10106001</v>
      </c>
      <c r="B24">
        <f>VLOOKUP(A24,'Fox1'!A:F,2,FALSE)</f>
        <v>1</v>
      </c>
      <c r="C24" t="str">
        <f>VLOOKUP(A24,'Fox1'!A:E,5,FALSE)</f>
        <v>AK117</v>
      </c>
      <c r="D24" t="str">
        <f>VLOOKUP(A24,'Fox1'!A:F,6,FALSE)</f>
        <v>Fully automatic assault rifle.High rate of fire, better stability with low range and shallow penetration.</v>
      </c>
      <c r="E24">
        <f t="shared" si="0"/>
        <v>1</v>
      </c>
      <c r="F24">
        <f t="shared" si="1"/>
        <v>101</v>
      </c>
      <c r="G24" t="str">
        <f>VLOOKUP(E24,DATA!A:C,3,FALSE)</f>
        <v>枪械</v>
      </c>
      <c r="H24" t="str">
        <f>VLOOKUP(MID(A24,LEN(A24)-2,1)*1,DATA!G:H,2,FALSE)</f>
        <v>PVP</v>
      </c>
      <c r="I24" t="str">
        <f>VLOOKUP(F24,DATA!B:D,3,FALSE)</f>
        <v>突击步枪</v>
      </c>
    </row>
    <row r="25" spans="1:9" x14ac:dyDescent="0.15">
      <c r="A25">
        <v>10106002</v>
      </c>
      <c r="B25">
        <f>VLOOKUP(A25,'Fox1'!A:F,2,FALSE)</f>
        <v>2</v>
      </c>
      <c r="C25" t="str">
        <f>VLOOKUP(A25,'Fox1'!A:E,5,FALSE)</f>
        <v>AK117</v>
      </c>
      <c r="D25" t="str">
        <f>VLOOKUP(A25,'Fox1'!A:F,6,FALSE)</f>
        <v>Fully automatic assault rifle.High rate of fire, better stability with low range and shallow penetration.</v>
      </c>
      <c r="E25">
        <f t="shared" si="0"/>
        <v>1</v>
      </c>
      <c r="F25">
        <f t="shared" si="1"/>
        <v>101</v>
      </c>
      <c r="G25" t="str">
        <f>VLOOKUP(E25,DATA!A:C,3,FALSE)</f>
        <v>枪械</v>
      </c>
      <c r="H25" t="str">
        <f>VLOOKUP(MID(A25,LEN(A25)-2,1)*1,DATA!G:H,2,FALSE)</f>
        <v>PVP</v>
      </c>
      <c r="I25" t="str">
        <f>VLOOKUP(F25,DATA!B:D,3,FALSE)</f>
        <v>突击步枪</v>
      </c>
    </row>
    <row r="26" spans="1:9" x14ac:dyDescent="0.15">
      <c r="A26">
        <v>10106003</v>
      </c>
      <c r="B26">
        <f>VLOOKUP(A26,'Fox1'!A:F,2,FALSE)</f>
        <v>3</v>
      </c>
      <c r="C26" t="str">
        <f>VLOOKUP(A26,'Fox1'!A:E,5,FALSE)</f>
        <v>AK117</v>
      </c>
      <c r="D26" t="str">
        <f>VLOOKUP(A26,'Fox1'!A:F,6,FALSE)</f>
        <v>Fully automatic assault rifle.High rate of fire, better stability with low range and shallow penetration.</v>
      </c>
      <c r="E26">
        <f t="shared" si="0"/>
        <v>1</v>
      </c>
      <c r="F26">
        <f t="shared" si="1"/>
        <v>101</v>
      </c>
      <c r="G26" t="str">
        <f>VLOOKUP(E26,DATA!A:C,3,FALSE)</f>
        <v>枪械</v>
      </c>
      <c r="H26" t="str">
        <f>VLOOKUP(MID(A26,LEN(A26)-2,1)*1,DATA!G:H,2,FALSE)</f>
        <v>PVP</v>
      </c>
      <c r="I26" t="str">
        <f>VLOOKUP(F26,DATA!B:D,3,FALSE)</f>
        <v>突击步枪</v>
      </c>
    </row>
    <row r="27" spans="1:9" x14ac:dyDescent="0.15">
      <c r="A27">
        <v>10106004</v>
      </c>
      <c r="B27">
        <f>VLOOKUP(A27,'Fox1'!A:F,2,FALSE)</f>
        <v>4</v>
      </c>
      <c r="C27" t="str">
        <f>VLOOKUP(A27,'Fox1'!A:E,5,FALSE)</f>
        <v>AK117</v>
      </c>
      <c r="D27" t="str">
        <f>VLOOKUP(A27,'Fox1'!A:F,6,FALSE)</f>
        <v>Fully automatic assault rifle.High rate of fire, better stability with low range and shallow penetration.</v>
      </c>
      <c r="E27">
        <f t="shared" si="0"/>
        <v>1</v>
      </c>
      <c r="F27">
        <f t="shared" si="1"/>
        <v>101</v>
      </c>
      <c r="G27" t="str">
        <f>VLOOKUP(E27,DATA!A:C,3,FALSE)</f>
        <v>枪械</v>
      </c>
      <c r="H27" t="str">
        <f>VLOOKUP(MID(A27,LEN(A27)-2,1)*1,DATA!G:H,2,FALSE)</f>
        <v>PVP</v>
      </c>
      <c r="I27" t="str">
        <f>VLOOKUP(F27,DATA!B:D,3,FALSE)</f>
        <v>突击步枪</v>
      </c>
    </row>
    <row r="28" spans="1:9" x14ac:dyDescent="0.15">
      <c r="A28">
        <v>10107001</v>
      </c>
      <c r="B28">
        <f>VLOOKUP(A28,'Fox1'!A:F,2,FALSE)</f>
        <v>1</v>
      </c>
      <c r="C28" t="str">
        <f>VLOOKUP(A28,'Fox1'!A:E,5,FALSE)</f>
        <v>AK47</v>
      </c>
      <c r="D28" t="str">
        <f>VLOOKUP(A28,'Fox1'!A:F,6,FALSE)</f>
        <v>Fully automatic assault rifle.High damage with high recoil.</v>
      </c>
      <c r="E28">
        <f t="shared" si="0"/>
        <v>1</v>
      </c>
      <c r="F28">
        <f t="shared" si="1"/>
        <v>101</v>
      </c>
      <c r="G28" t="str">
        <f>VLOOKUP(E28,DATA!A:C,3,FALSE)</f>
        <v>枪械</v>
      </c>
      <c r="H28" t="str">
        <f>VLOOKUP(MID(A28,LEN(A28)-2,1)*1,DATA!G:H,2,FALSE)</f>
        <v>PVP</v>
      </c>
      <c r="I28" t="str">
        <f>VLOOKUP(F28,DATA!B:D,3,FALSE)</f>
        <v>突击步枪</v>
      </c>
    </row>
    <row r="29" spans="1:9" x14ac:dyDescent="0.15">
      <c r="A29">
        <v>10107002</v>
      </c>
      <c r="B29">
        <f>VLOOKUP(A29,'Fox1'!A:F,2,FALSE)</f>
        <v>2</v>
      </c>
      <c r="C29" t="str">
        <f>VLOOKUP(A29,'Fox1'!A:E,5,FALSE)</f>
        <v>AK47</v>
      </c>
      <c r="D29" t="str">
        <f>VLOOKUP(A29,'Fox1'!A:F,6,FALSE)</f>
        <v>Fully automatic assault rifle.High damage with high recoil.</v>
      </c>
      <c r="E29">
        <f t="shared" si="0"/>
        <v>1</v>
      </c>
      <c r="F29">
        <f t="shared" si="1"/>
        <v>101</v>
      </c>
      <c r="G29" t="str">
        <f>VLOOKUP(E29,DATA!A:C,3,FALSE)</f>
        <v>枪械</v>
      </c>
      <c r="H29" t="str">
        <f>VLOOKUP(MID(A29,LEN(A29)-2,1)*1,DATA!G:H,2,FALSE)</f>
        <v>PVP</v>
      </c>
      <c r="I29" t="str">
        <f>VLOOKUP(F29,DATA!B:D,3,FALSE)</f>
        <v>突击步枪</v>
      </c>
    </row>
    <row r="30" spans="1:9" x14ac:dyDescent="0.15">
      <c r="A30">
        <v>10107003</v>
      </c>
      <c r="B30">
        <f>VLOOKUP(A30,'Fox1'!A:F,2,FALSE)</f>
        <v>3</v>
      </c>
      <c r="C30" t="str">
        <f>VLOOKUP(A30,'Fox1'!A:E,5,FALSE)</f>
        <v>AK47</v>
      </c>
      <c r="D30" t="str">
        <f>VLOOKUP(A30,'Fox1'!A:F,6,FALSE)</f>
        <v>Fully automatic assault rifle.High damage with high recoil.</v>
      </c>
      <c r="E30">
        <f t="shared" si="0"/>
        <v>1</v>
      </c>
      <c r="F30">
        <f t="shared" si="1"/>
        <v>101</v>
      </c>
      <c r="G30" t="str">
        <f>VLOOKUP(E30,DATA!A:C,3,FALSE)</f>
        <v>枪械</v>
      </c>
      <c r="H30" t="str">
        <f>VLOOKUP(MID(A30,LEN(A30)-2,1)*1,DATA!G:H,2,FALSE)</f>
        <v>PVP</v>
      </c>
      <c r="I30" t="str">
        <f>VLOOKUP(F30,DATA!B:D,3,FALSE)</f>
        <v>突击步枪</v>
      </c>
    </row>
    <row r="31" spans="1:9" x14ac:dyDescent="0.15">
      <c r="A31">
        <v>10107004</v>
      </c>
      <c r="B31">
        <f>VLOOKUP(A31,'Fox1'!A:F,2,FALSE)</f>
        <v>4</v>
      </c>
      <c r="C31" t="str">
        <f>VLOOKUP(A31,'Fox1'!A:E,5,FALSE)</f>
        <v>AK47</v>
      </c>
      <c r="D31" t="str">
        <f>VLOOKUP(A31,'Fox1'!A:F,6,FALSE)</f>
        <v>Fully automatic assault rifle.High damage with high recoil.</v>
      </c>
      <c r="E31">
        <f t="shared" si="0"/>
        <v>1</v>
      </c>
      <c r="F31">
        <f t="shared" si="1"/>
        <v>101</v>
      </c>
      <c r="G31" t="str">
        <f>VLOOKUP(E31,DATA!A:C,3,FALSE)</f>
        <v>枪械</v>
      </c>
      <c r="H31" t="str">
        <f>VLOOKUP(MID(A31,LEN(A31)-2,1)*1,DATA!G:H,2,FALSE)</f>
        <v>PVP</v>
      </c>
      <c r="I31" t="str">
        <f>VLOOKUP(F31,DATA!B:D,3,FALSE)</f>
        <v>突击步枪</v>
      </c>
    </row>
    <row r="32" spans="1:9" x14ac:dyDescent="0.15">
      <c r="A32">
        <v>10201001</v>
      </c>
      <c r="B32">
        <f>VLOOKUP(A32,'Fox1'!A:F,2,FALSE)</f>
        <v>2</v>
      </c>
      <c r="C32" t="str">
        <f>VLOOKUP(A32,'Fox1'!A:E,5,FALSE)</f>
        <v>SVU-AS</v>
      </c>
      <c r="D32" t="str">
        <f>VLOOKUP(A32,'Fox1'!A:F,6,FALSE)</f>
        <v>Fully automatic sniper rifle.High fire rate with low recoil.</v>
      </c>
      <c r="E32">
        <f t="shared" si="0"/>
        <v>1</v>
      </c>
      <c r="F32">
        <f t="shared" si="1"/>
        <v>102</v>
      </c>
      <c r="G32" t="str">
        <f>VLOOKUP(E32,DATA!A:C,3,FALSE)</f>
        <v>枪械</v>
      </c>
      <c r="H32" t="str">
        <f>VLOOKUP(MID(A32,LEN(A32)-2,1)*1,DATA!G:H,2,FALSE)</f>
        <v>PVP</v>
      </c>
      <c r="I32" t="str">
        <f>VLOOKUP(F32,DATA!B:D,3,FALSE)</f>
        <v>狙击枪</v>
      </c>
    </row>
    <row r="33" spans="1:9" x14ac:dyDescent="0.15">
      <c r="A33">
        <v>10201002</v>
      </c>
      <c r="B33">
        <f>VLOOKUP(A33,'Fox1'!A:F,2,FALSE)</f>
        <v>3</v>
      </c>
      <c r="C33" t="str">
        <f>VLOOKUP(A33,'Fox1'!A:E,5,FALSE)</f>
        <v>SVU-AS</v>
      </c>
      <c r="D33" t="str">
        <f>VLOOKUP(A33,'Fox1'!A:F,6,FALSE)</f>
        <v>Fully automatic sniper rifle.High fire rate with low recoil.</v>
      </c>
      <c r="E33">
        <f t="shared" si="0"/>
        <v>1</v>
      </c>
      <c r="F33">
        <f t="shared" si="1"/>
        <v>102</v>
      </c>
      <c r="G33" t="str">
        <f>VLOOKUP(E33,DATA!A:C,3,FALSE)</f>
        <v>枪械</v>
      </c>
      <c r="H33" t="str">
        <f>VLOOKUP(MID(A33,LEN(A33)-2,1)*1,DATA!G:H,2,FALSE)</f>
        <v>PVP</v>
      </c>
      <c r="I33" t="str">
        <f>VLOOKUP(F33,DATA!B:D,3,FALSE)</f>
        <v>狙击枪</v>
      </c>
    </row>
    <row r="34" spans="1:9" x14ac:dyDescent="0.15">
      <c r="A34">
        <v>10201003</v>
      </c>
      <c r="B34">
        <f>VLOOKUP(A34,'Fox1'!A:F,2,FALSE)</f>
        <v>4</v>
      </c>
      <c r="C34" t="str">
        <f>VLOOKUP(A34,'Fox1'!A:E,5,FALSE)</f>
        <v>SVU-AS</v>
      </c>
      <c r="D34" t="str">
        <f>VLOOKUP(A34,'Fox1'!A:F,6,FALSE)</f>
        <v>Fully automatic sniper rifle.High fire rate with low recoil.</v>
      </c>
      <c r="E34">
        <f t="shared" si="0"/>
        <v>1</v>
      </c>
      <c r="F34">
        <f t="shared" si="1"/>
        <v>102</v>
      </c>
      <c r="G34" t="str">
        <f>VLOOKUP(E34,DATA!A:C,3,FALSE)</f>
        <v>枪械</v>
      </c>
      <c r="H34" t="str">
        <f>VLOOKUP(MID(A34,LEN(A34)-2,1)*1,DATA!G:H,2,FALSE)</f>
        <v>PVP</v>
      </c>
      <c r="I34" t="str">
        <f>VLOOKUP(F34,DATA!B:D,3,FALSE)</f>
        <v>狙击枪</v>
      </c>
    </row>
    <row r="35" spans="1:9" x14ac:dyDescent="0.15">
      <c r="A35">
        <v>10201004</v>
      </c>
      <c r="B35">
        <f>VLOOKUP(A35,'Fox1'!A:F,2,FALSE)</f>
        <v>1</v>
      </c>
      <c r="C35" t="str">
        <f>VLOOKUP(A35,'Fox1'!A:E,5,FALSE)</f>
        <v>SVU-AS</v>
      </c>
      <c r="D35" t="str">
        <f>VLOOKUP(A35,'Fox1'!A:F,6,FALSE)</f>
        <v>Fully automatic sniper rifle.High fire rate with low recoil.</v>
      </c>
      <c r="E35">
        <f t="shared" si="0"/>
        <v>1</v>
      </c>
      <c r="F35">
        <f t="shared" si="1"/>
        <v>102</v>
      </c>
      <c r="G35" t="str">
        <f>VLOOKUP(E35,DATA!A:C,3,FALSE)</f>
        <v>枪械</v>
      </c>
      <c r="H35" t="str">
        <f>VLOOKUP(MID(A35,LEN(A35)-2,1)*1,DATA!G:H,2,FALSE)</f>
        <v>PVP</v>
      </c>
      <c r="I35" t="str">
        <f>VLOOKUP(F35,DATA!B:D,3,FALSE)</f>
        <v>狙击枪</v>
      </c>
    </row>
    <row r="36" spans="1:9" x14ac:dyDescent="0.15">
      <c r="A36">
        <v>10202001</v>
      </c>
      <c r="B36">
        <f>VLOOKUP(A36,'Fox1'!A:F,2,FALSE)</f>
        <v>2</v>
      </c>
      <c r="C36" t="str">
        <f>VLOOKUP(A36,'Fox1'!A:E,5,FALSE)</f>
        <v>Barrett50</v>
      </c>
      <c r="D36" t="str">
        <f>VLOOKUP(A36,'Fox1'!A:F,6,FALSE)</f>
        <v>Semi-automatic sniper rifle.Effective at long range.</v>
      </c>
      <c r="E36">
        <f t="shared" si="0"/>
        <v>1</v>
      </c>
      <c r="F36">
        <f t="shared" si="1"/>
        <v>102</v>
      </c>
      <c r="G36" t="str">
        <f>VLOOKUP(E36,DATA!A:C,3,FALSE)</f>
        <v>枪械</v>
      </c>
      <c r="H36" t="str">
        <f>VLOOKUP(MID(A36,LEN(A36)-2,1)*1,DATA!G:H,2,FALSE)</f>
        <v>PVP</v>
      </c>
      <c r="I36" t="str">
        <f>VLOOKUP(F36,DATA!B:D,3,FALSE)</f>
        <v>狙击枪</v>
      </c>
    </row>
    <row r="37" spans="1:9" x14ac:dyDescent="0.15">
      <c r="A37">
        <v>10202002</v>
      </c>
      <c r="B37">
        <f>VLOOKUP(A37,'Fox1'!A:F,2,FALSE)</f>
        <v>3</v>
      </c>
      <c r="C37" t="str">
        <f>VLOOKUP(A37,'Fox1'!A:E,5,FALSE)</f>
        <v>Barrett50</v>
      </c>
      <c r="D37" t="str">
        <f>VLOOKUP(A37,'Fox1'!A:F,6,FALSE)</f>
        <v>Semi-automatic sniper rifle.Effective at long range.</v>
      </c>
      <c r="E37">
        <f t="shared" si="0"/>
        <v>1</v>
      </c>
      <c r="F37">
        <f t="shared" si="1"/>
        <v>102</v>
      </c>
      <c r="G37" t="str">
        <f>VLOOKUP(E37,DATA!A:C,3,FALSE)</f>
        <v>枪械</v>
      </c>
      <c r="H37" t="str">
        <f>VLOOKUP(MID(A37,LEN(A37)-2,1)*1,DATA!G:H,2,FALSE)</f>
        <v>PVP</v>
      </c>
      <c r="I37" t="str">
        <f>VLOOKUP(F37,DATA!B:D,3,FALSE)</f>
        <v>狙击枪</v>
      </c>
    </row>
    <row r="38" spans="1:9" x14ac:dyDescent="0.15">
      <c r="A38">
        <v>10202003</v>
      </c>
      <c r="B38">
        <f>VLOOKUP(A38,'Fox1'!A:F,2,FALSE)</f>
        <v>4</v>
      </c>
      <c r="C38" t="str">
        <f>VLOOKUP(A38,'Fox1'!A:E,5,FALSE)</f>
        <v>Barrett50</v>
      </c>
      <c r="D38" t="str">
        <f>VLOOKUP(A38,'Fox1'!A:F,6,FALSE)</f>
        <v>Semi-automatic sniper rifle.Effective at long range.</v>
      </c>
      <c r="E38">
        <f t="shared" si="0"/>
        <v>1</v>
      </c>
      <c r="F38">
        <f t="shared" si="1"/>
        <v>102</v>
      </c>
      <c r="G38" t="str">
        <f>VLOOKUP(E38,DATA!A:C,3,FALSE)</f>
        <v>枪械</v>
      </c>
      <c r="H38" t="str">
        <f>VLOOKUP(MID(A38,LEN(A38)-2,1)*1,DATA!G:H,2,FALSE)</f>
        <v>PVP</v>
      </c>
      <c r="I38" t="str">
        <f>VLOOKUP(F38,DATA!B:D,3,FALSE)</f>
        <v>狙击枪</v>
      </c>
    </row>
    <row r="39" spans="1:9" x14ac:dyDescent="0.15">
      <c r="A39">
        <v>10202004</v>
      </c>
      <c r="B39">
        <f>VLOOKUP(A39,'Fox1'!A:F,2,FALSE)</f>
        <v>5</v>
      </c>
      <c r="C39" t="str">
        <f>VLOOKUP(A39,'Fox1'!A:E,5,FALSE)</f>
        <v>Barrett50</v>
      </c>
      <c r="D39" t="str">
        <f>VLOOKUP(A39,'Fox1'!A:F,6,FALSE)</f>
        <v>Semi-automatic sniper rifle.Effective at long range.</v>
      </c>
      <c r="E39">
        <f t="shared" si="0"/>
        <v>1</v>
      </c>
      <c r="F39">
        <f t="shared" si="1"/>
        <v>102</v>
      </c>
      <c r="G39" t="str">
        <f>VLOOKUP(E39,DATA!A:C,3,FALSE)</f>
        <v>枪械</v>
      </c>
      <c r="H39" t="str">
        <f>VLOOKUP(MID(A39,LEN(A39)-2,1)*1,DATA!G:H,2,FALSE)</f>
        <v>PVP</v>
      </c>
      <c r="I39" t="str">
        <f>VLOOKUP(F39,DATA!B:D,3,FALSE)</f>
        <v>狙击枪</v>
      </c>
    </row>
    <row r="40" spans="1:9" x14ac:dyDescent="0.15">
      <c r="A40">
        <v>10202005</v>
      </c>
      <c r="B40">
        <f>VLOOKUP(A40,'Fox1'!A:F,2,FALSE)</f>
        <v>1</v>
      </c>
      <c r="C40" t="str">
        <f>VLOOKUP(A40,'Fox1'!A:E,5,FALSE)</f>
        <v>Barrett50</v>
      </c>
      <c r="D40" t="str">
        <f>VLOOKUP(A40,'Fox1'!A:F,6,FALSE)</f>
        <v>Semi-automatic sniper rifle.Effective at long range.</v>
      </c>
      <c r="E40">
        <f t="shared" si="0"/>
        <v>1</v>
      </c>
      <c r="F40">
        <f t="shared" si="1"/>
        <v>102</v>
      </c>
      <c r="G40" t="str">
        <f>VLOOKUP(E40,DATA!A:C,3,FALSE)</f>
        <v>枪械</v>
      </c>
      <c r="H40" t="str">
        <f>VLOOKUP(MID(A40,LEN(A40)-2,1)*1,DATA!G:H,2,FALSE)</f>
        <v>PVP</v>
      </c>
      <c r="I40" t="str">
        <f>VLOOKUP(F40,DATA!B:D,3,FALSE)</f>
        <v>狙击枪</v>
      </c>
    </row>
    <row r="41" spans="1:9" x14ac:dyDescent="0.15">
      <c r="A41">
        <v>10203001</v>
      </c>
      <c r="B41">
        <f>VLOOKUP(A41,'Fox1'!A:F,2,FALSE)</f>
        <v>2</v>
      </c>
      <c r="C41" t="str">
        <f>VLOOKUP(A41,'Fox1'!A:E,5,FALSE)</f>
        <v>XPR-50</v>
      </c>
      <c r="D41" t="str">
        <f>VLOOKUP(A41,'Fox1'!A:F,6,FALSE)</f>
        <v>Semi-automatic sniper rifle.Deadly from the chest up,with moderate recoil</v>
      </c>
      <c r="E41">
        <f t="shared" si="0"/>
        <v>1</v>
      </c>
      <c r="F41">
        <f t="shared" si="1"/>
        <v>102</v>
      </c>
      <c r="G41" t="str">
        <f>VLOOKUP(E41,DATA!A:C,3,FALSE)</f>
        <v>枪械</v>
      </c>
      <c r="H41" t="str">
        <f>VLOOKUP(MID(A41,LEN(A41)-2,1)*1,DATA!G:H,2,FALSE)</f>
        <v>PVP</v>
      </c>
      <c r="I41" t="str">
        <f>VLOOKUP(F41,DATA!B:D,3,FALSE)</f>
        <v>狙击枪</v>
      </c>
    </row>
    <row r="42" spans="1:9" x14ac:dyDescent="0.15">
      <c r="A42">
        <v>10203002</v>
      </c>
      <c r="B42">
        <f>VLOOKUP(A42,'Fox1'!A:F,2,FALSE)</f>
        <v>3</v>
      </c>
      <c r="C42" t="str">
        <f>VLOOKUP(A42,'Fox1'!A:E,5,FALSE)</f>
        <v>XPR-50</v>
      </c>
      <c r="D42" t="str">
        <f>VLOOKUP(A42,'Fox1'!A:F,6,FALSE)</f>
        <v>Semi-automatic sniper rifle.Deadly from the chest up,with moderate recoil</v>
      </c>
      <c r="E42">
        <f t="shared" si="0"/>
        <v>1</v>
      </c>
      <c r="F42">
        <f t="shared" si="1"/>
        <v>102</v>
      </c>
      <c r="G42" t="str">
        <f>VLOOKUP(E42,DATA!A:C,3,FALSE)</f>
        <v>枪械</v>
      </c>
      <c r="H42" t="str">
        <f>VLOOKUP(MID(A42,LEN(A42)-2,1)*1,DATA!G:H,2,FALSE)</f>
        <v>PVP</v>
      </c>
      <c r="I42" t="str">
        <f>VLOOKUP(F42,DATA!B:D,3,FALSE)</f>
        <v>狙击枪</v>
      </c>
    </row>
    <row r="43" spans="1:9" x14ac:dyDescent="0.15">
      <c r="A43">
        <v>10203003</v>
      </c>
      <c r="B43">
        <f>VLOOKUP(A43,'Fox1'!A:F,2,FALSE)</f>
        <v>4</v>
      </c>
      <c r="C43" t="str">
        <f>VLOOKUP(A43,'Fox1'!A:E,5,FALSE)</f>
        <v>XPR-50</v>
      </c>
      <c r="D43" t="str">
        <f>VLOOKUP(A43,'Fox1'!A:F,6,FALSE)</f>
        <v>Semi-automatic sniper rifle.Deadly from the chest up,with moderate recoil</v>
      </c>
      <c r="E43">
        <f t="shared" si="0"/>
        <v>1</v>
      </c>
      <c r="F43">
        <f t="shared" si="1"/>
        <v>102</v>
      </c>
      <c r="G43" t="str">
        <f>VLOOKUP(E43,DATA!A:C,3,FALSE)</f>
        <v>枪械</v>
      </c>
      <c r="H43" t="str">
        <f>VLOOKUP(MID(A43,LEN(A43)-2,1)*1,DATA!G:H,2,FALSE)</f>
        <v>PVP</v>
      </c>
      <c r="I43" t="str">
        <f>VLOOKUP(F43,DATA!B:D,3,FALSE)</f>
        <v>狙击枪</v>
      </c>
    </row>
    <row r="44" spans="1:9" x14ac:dyDescent="0.15">
      <c r="A44">
        <v>10203004</v>
      </c>
      <c r="B44">
        <f>VLOOKUP(A44,'Fox1'!A:F,2,FALSE)</f>
        <v>1</v>
      </c>
      <c r="C44" t="str">
        <f>VLOOKUP(A44,'Fox1'!A:E,5,FALSE)</f>
        <v>XPR-50</v>
      </c>
      <c r="D44" t="str">
        <f>VLOOKUP(A44,'Fox1'!A:F,6,FALSE)</f>
        <v>Semi-automatic sniper rifle.Deadly from the chest up,with moderate recoil</v>
      </c>
      <c r="E44">
        <f t="shared" si="0"/>
        <v>1</v>
      </c>
      <c r="F44">
        <f t="shared" si="1"/>
        <v>102</v>
      </c>
      <c r="G44" t="str">
        <f>VLOOKUP(E44,DATA!A:C,3,FALSE)</f>
        <v>枪械</v>
      </c>
      <c r="H44" t="str">
        <f>VLOOKUP(MID(A44,LEN(A44)-2,1)*1,DATA!G:H,2,FALSE)</f>
        <v>PVP</v>
      </c>
      <c r="I44" t="str">
        <f>VLOOKUP(F44,DATA!B:D,3,FALSE)</f>
        <v>狙击枪</v>
      </c>
    </row>
    <row r="45" spans="1:9" x14ac:dyDescent="0.15">
      <c r="A45">
        <v>10204001</v>
      </c>
      <c r="B45">
        <f>VLOOKUP(A45,'Fox1'!A:F,2,FALSE)</f>
        <v>1</v>
      </c>
      <c r="C45" t="str">
        <f>VLOOKUP(A45,'Fox1'!A:E,5,FALSE)</f>
        <v>Arctic.50</v>
      </c>
      <c r="D45" t="str">
        <f>VLOOKUP(A45,'Fox1'!A:F,6,FALSE)</f>
        <v>Semi-automatic sniper rifle.Faster gun elevation speed and movement speed with the gun.</v>
      </c>
      <c r="E45">
        <f t="shared" si="0"/>
        <v>1</v>
      </c>
      <c r="F45">
        <f t="shared" si="1"/>
        <v>102</v>
      </c>
      <c r="G45" t="str">
        <f>VLOOKUP(E45,DATA!A:C,3,FALSE)</f>
        <v>枪械</v>
      </c>
      <c r="H45" t="str">
        <f>VLOOKUP(MID(A45,LEN(A45)-2,1)*1,DATA!G:H,2,FALSE)</f>
        <v>PVP</v>
      </c>
      <c r="I45" t="str">
        <f>VLOOKUP(F45,DATA!B:D,3,FALSE)</f>
        <v>狙击枪</v>
      </c>
    </row>
    <row r="46" spans="1:9" x14ac:dyDescent="0.15">
      <c r="A46">
        <v>10204002</v>
      </c>
      <c r="B46">
        <f>VLOOKUP(A46,'Fox1'!A:F,2,FALSE)</f>
        <v>2</v>
      </c>
      <c r="C46" t="str">
        <f>VLOOKUP(A46,'Fox1'!A:E,5,FALSE)</f>
        <v>Arctic.50</v>
      </c>
      <c r="D46" t="str">
        <f>VLOOKUP(A46,'Fox1'!A:F,6,FALSE)</f>
        <v>Semi-automatic sniper rifle.Faster gun elevation speed and movement speed with the gun.</v>
      </c>
      <c r="E46">
        <f t="shared" si="0"/>
        <v>1</v>
      </c>
      <c r="F46">
        <f t="shared" si="1"/>
        <v>102</v>
      </c>
      <c r="G46" t="str">
        <f>VLOOKUP(E46,DATA!A:C,3,FALSE)</f>
        <v>枪械</v>
      </c>
      <c r="H46" t="str">
        <f>VLOOKUP(MID(A46,LEN(A46)-2,1)*1,DATA!G:H,2,FALSE)</f>
        <v>PVP</v>
      </c>
      <c r="I46" t="str">
        <f>VLOOKUP(F46,DATA!B:D,3,FALSE)</f>
        <v>狙击枪</v>
      </c>
    </row>
    <row r="47" spans="1:9" x14ac:dyDescent="0.15">
      <c r="A47">
        <v>10204003</v>
      </c>
      <c r="B47">
        <f>VLOOKUP(A47,'Fox1'!A:F,2,FALSE)</f>
        <v>3</v>
      </c>
      <c r="C47" t="str">
        <f>VLOOKUP(A47,'Fox1'!A:E,5,FALSE)</f>
        <v>Arctic.50</v>
      </c>
      <c r="D47" t="str">
        <f>VLOOKUP(A47,'Fox1'!A:F,6,FALSE)</f>
        <v>Semi-automatic sniper rifle.Faster gun elevation speed and movement speed with the gun.</v>
      </c>
      <c r="E47">
        <f t="shared" si="0"/>
        <v>1</v>
      </c>
      <c r="F47">
        <f t="shared" si="1"/>
        <v>102</v>
      </c>
      <c r="G47" t="str">
        <f>VLOOKUP(E47,DATA!A:C,3,FALSE)</f>
        <v>枪械</v>
      </c>
      <c r="H47" t="str">
        <f>VLOOKUP(MID(A47,LEN(A47)-2,1)*1,DATA!G:H,2,FALSE)</f>
        <v>PVP</v>
      </c>
      <c r="I47" t="str">
        <f>VLOOKUP(F47,DATA!B:D,3,FALSE)</f>
        <v>狙击枪</v>
      </c>
    </row>
    <row r="48" spans="1:9" x14ac:dyDescent="0.15">
      <c r="A48">
        <v>10204004</v>
      </c>
      <c r="B48">
        <f>VLOOKUP(A48,'Fox1'!A:F,2,FALSE)</f>
        <v>4</v>
      </c>
      <c r="C48" t="str">
        <f>VLOOKUP(A48,'Fox1'!A:E,5,FALSE)</f>
        <v>Arctic.50</v>
      </c>
      <c r="D48" t="str">
        <f>VLOOKUP(A48,'Fox1'!A:F,6,FALSE)</f>
        <v>Semi-automatic sniper rifle.Faster gun elevation speed and movement speed with the gun.</v>
      </c>
      <c r="E48">
        <f t="shared" si="0"/>
        <v>1</v>
      </c>
      <c r="F48">
        <f t="shared" si="1"/>
        <v>102</v>
      </c>
      <c r="G48" t="str">
        <f>VLOOKUP(E48,DATA!A:C,3,FALSE)</f>
        <v>枪械</v>
      </c>
      <c r="H48" t="str">
        <f>VLOOKUP(MID(A48,LEN(A48)-2,1)*1,DATA!G:H,2,FALSE)</f>
        <v>PVP</v>
      </c>
      <c r="I48" t="str">
        <f>VLOOKUP(F48,DATA!B:D,3,FALSE)</f>
        <v>狙击枪</v>
      </c>
    </row>
    <row r="49" spans="1:9" x14ac:dyDescent="0.15">
      <c r="A49">
        <v>10301001</v>
      </c>
      <c r="B49">
        <f>VLOOKUP(A49,'Fox1'!A:F,2,FALSE)</f>
        <v>2</v>
      </c>
      <c r="C49" t="str">
        <f>VLOOKUP(A49,'Fox1'!A:E,5,FALSE)</f>
        <v>MK48</v>
      </c>
      <c r="D49" t="str">
        <f>VLOOKUP(A49,'Fox1'!A:F,6,FALSE)</f>
        <v>Fully automatic LMG.Increased damage and range.</v>
      </c>
      <c r="E49">
        <f t="shared" si="0"/>
        <v>1</v>
      </c>
      <c r="F49">
        <f t="shared" si="1"/>
        <v>103</v>
      </c>
      <c r="G49" t="str">
        <f>VLOOKUP(E49,DATA!A:C,3,FALSE)</f>
        <v>枪械</v>
      </c>
      <c r="H49" t="str">
        <f>VLOOKUP(MID(A49,LEN(A49)-2,1)*1,DATA!G:H,2,FALSE)</f>
        <v>PVP</v>
      </c>
      <c r="I49" t="str">
        <f>VLOOKUP(F49,DATA!B:D,3,FALSE)</f>
        <v>轻机枪</v>
      </c>
    </row>
    <row r="50" spans="1:9" x14ac:dyDescent="0.15">
      <c r="A50">
        <v>10301002</v>
      </c>
      <c r="B50">
        <f>VLOOKUP(A50,'Fox1'!A:F,2,FALSE)</f>
        <v>3</v>
      </c>
      <c r="C50" t="str">
        <f>VLOOKUP(A50,'Fox1'!A:E,5,FALSE)</f>
        <v>MK48</v>
      </c>
      <c r="D50" t="str">
        <f>VLOOKUP(A50,'Fox1'!A:F,6,FALSE)</f>
        <v>Fully automatic LMG.Increased damage and range.</v>
      </c>
      <c r="E50">
        <f t="shared" si="0"/>
        <v>1</v>
      </c>
      <c r="F50">
        <f t="shared" si="1"/>
        <v>103</v>
      </c>
      <c r="G50" t="str">
        <f>VLOOKUP(E50,DATA!A:C,3,FALSE)</f>
        <v>枪械</v>
      </c>
      <c r="H50" t="str">
        <f>VLOOKUP(MID(A50,LEN(A50)-2,1)*1,DATA!G:H,2,FALSE)</f>
        <v>PVP</v>
      </c>
      <c r="I50" t="str">
        <f>VLOOKUP(F50,DATA!B:D,3,FALSE)</f>
        <v>轻机枪</v>
      </c>
    </row>
    <row r="51" spans="1:9" x14ac:dyDescent="0.15">
      <c r="A51">
        <v>10301003</v>
      </c>
      <c r="B51">
        <f>VLOOKUP(A51,'Fox1'!A:F,2,FALSE)</f>
        <v>4</v>
      </c>
      <c r="C51" t="str">
        <f>VLOOKUP(A51,'Fox1'!A:E,5,FALSE)</f>
        <v>MK48</v>
      </c>
      <c r="D51" t="str">
        <f>VLOOKUP(A51,'Fox1'!A:F,6,FALSE)</f>
        <v>Fully automatic LMG.Increased damage and range.</v>
      </c>
      <c r="E51">
        <f t="shared" si="0"/>
        <v>1</v>
      </c>
      <c r="F51">
        <f t="shared" si="1"/>
        <v>103</v>
      </c>
      <c r="G51" t="str">
        <f>VLOOKUP(E51,DATA!A:C,3,FALSE)</f>
        <v>枪械</v>
      </c>
      <c r="H51" t="str">
        <f>VLOOKUP(MID(A51,LEN(A51)-2,1)*1,DATA!G:H,2,FALSE)</f>
        <v>PVP</v>
      </c>
      <c r="I51" t="str">
        <f>VLOOKUP(F51,DATA!B:D,3,FALSE)</f>
        <v>轻机枪</v>
      </c>
    </row>
    <row r="52" spans="1:9" x14ac:dyDescent="0.15">
      <c r="A52">
        <v>10301004</v>
      </c>
      <c r="B52">
        <f>VLOOKUP(A52,'Fox1'!A:F,2,FALSE)</f>
        <v>1</v>
      </c>
      <c r="C52" t="str">
        <f>VLOOKUP(A52,'Fox1'!A:E,5,FALSE)</f>
        <v>MK48</v>
      </c>
      <c r="D52" t="str">
        <f>VLOOKUP(A52,'Fox1'!A:F,6,FALSE)</f>
        <v>Fully automatic LMG.Increased damage and range.</v>
      </c>
      <c r="E52">
        <f t="shared" si="0"/>
        <v>1</v>
      </c>
      <c r="F52">
        <f t="shared" si="1"/>
        <v>103</v>
      </c>
      <c r="G52" t="str">
        <f>VLOOKUP(E52,DATA!A:C,3,FALSE)</f>
        <v>枪械</v>
      </c>
      <c r="H52" t="str">
        <f>VLOOKUP(MID(A52,LEN(A52)-2,1)*1,DATA!G:H,2,FALSE)</f>
        <v>PVP</v>
      </c>
      <c r="I52" t="str">
        <f>VLOOKUP(F52,DATA!B:D,3,FALSE)</f>
        <v>轻机枪</v>
      </c>
    </row>
    <row r="53" spans="1:9" x14ac:dyDescent="0.15">
      <c r="A53">
        <v>10302001</v>
      </c>
      <c r="B53">
        <f>VLOOKUP(A53,'Fox1'!A:F,2,FALSE)</f>
        <v>2</v>
      </c>
      <c r="C53" t="str">
        <f>VLOOKUP(A53,'Fox1'!A:E,5,FALSE)</f>
        <v>M249SAW</v>
      </c>
      <c r="D53" t="str">
        <f>VLOOKUP(A53,'Fox1'!A:F,6,FALSE)</f>
        <v>Fully automatic with high rate of fire.Effective at medium to long range.</v>
      </c>
      <c r="E53">
        <f t="shared" si="0"/>
        <v>1</v>
      </c>
      <c r="F53">
        <f t="shared" si="1"/>
        <v>103</v>
      </c>
      <c r="G53" t="str">
        <f>VLOOKUP(E53,DATA!A:C,3,FALSE)</f>
        <v>枪械</v>
      </c>
      <c r="H53" t="str">
        <f>VLOOKUP(MID(A53,LEN(A53)-2,1)*1,DATA!G:H,2,FALSE)</f>
        <v>PVP</v>
      </c>
      <c r="I53" t="str">
        <f>VLOOKUP(F53,DATA!B:D,3,FALSE)</f>
        <v>轻机枪</v>
      </c>
    </row>
    <row r="54" spans="1:9" x14ac:dyDescent="0.15">
      <c r="A54">
        <v>10302002</v>
      </c>
      <c r="B54">
        <f>VLOOKUP(A54,'Fox1'!A:F,2,FALSE)</f>
        <v>3</v>
      </c>
      <c r="C54" t="str">
        <f>VLOOKUP(A54,'Fox1'!A:E,5,FALSE)</f>
        <v>M249SAW</v>
      </c>
      <c r="D54" t="str">
        <f>VLOOKUP(A54,'Fox1'!A:F,6,FALSE)</f>
        <v>Fully automatic with high rate of fire.Effective at medium to long range.</v>
      </c>
      <c r="E54">
        <f t="shared" si="0"/>
        <v>1</v>
      </c>
      <c r="F54">
        <f t="shared" si="1"/>
        <v>103</v>
      </c>
      <c r="G54" t="str">
        <f>VLOOKUP(E54,DATA!A:C,3,FALSE)</f>
        <v>枪械</v>
      </c>
      <c r="H54" t="str">
        <f>VLOOKUP(MID(A54,LEN(A54)-2,1)*1,DATA!G:H,2,FALSE)</f>
        <v>PVP</v>
      </c>
      <c r="I54" t="str">
        <f>VLOOKUP(F54,DATA!B:D,3,FALSE)</f>
        <v>轻机枪</v>
      </c>
    </row>
    <row r="55" spans="1:9" x14ac:dyDescent="0.15">
      <c r="A55">
        <v>10302003</v>
      </c>
      <c r="B55">
        <f>VLOOKUP(A55,'Fox1'!A:F,2,FALSE)</f>
        <v>4</v>
      </c>
      <c r="C55" t="str">
        <f>VLOOKUP(A55,'Fox1'!A:E,5,FALSE)</f>
        <v>M249SAW</v>
      </c>
      <c r="D55" t="str">
        <f>VLOOKUP(A55,'Fox1'!A:F,6,FALSE)</f>
        <v>Fully automatic with high rate of fire.Effective at medium to long range.</v>
      </c>
      <c r="E55">
        <f t="shared" si="0"/>
        <v>1</v>
      </c>
      <c r="F55">
        <f t="shared" si="1"/>
        <v>103</v>
      </c>
      <c r="G55" t="str">
        <f>VLOOKUP(E55,DATA!A:C,3,FALSE)</f>
        <v>枪械</v>
      </c>
      <c r="H55" t="str">
        <f>VLOOKUP(MID(A55,LEN(A55)-2,1)*1,DATA!G:H,2,FALSE)</f>
        <v>PVP</v>
      </c>
      <c r="I55" t="str">
        <f>VLOOKUP(F55,DATA!B:D,3,FALSE)</f>
        <v>轻机枪</v>
      </c>
    </row>
    <row r="56" spans="1:9" x14ac:dyDescent="0.15">
      <c r="A56">
        <v>10302004</v>
      </c>
      <c r="B56">
        <f>VLOOKUP(A56,'Fox1'!A:F,2,FALSE)</f>
        <v>1</v>
      </c>
      <c r="C56" t="str">
        <f>VLOOKUP(A56,'Fox1'!A:E,5,FALSE)</f>
        <v>M249SAW</v>
      </c>
      <c r="D56" t="str">
        <f>VLOOKUP(A56,'Fox1'!A:F,6,FALSE)</f>
        <v>Fully automatic with high rate of fire.Effective at medium to long range.</v>
      </c>
      <c r="E56">
        <f t="shared" si="0"/>
        <v>1</v>
      </c>
      <c r="F56">
        <f t="shared" si="1"/>
        <v>103</v>
      </c>
      <c r="G56" t="str">
        <f>VLOOKUP(E56,DATA!A:C,3,FALSE)</f>
        <v>枪械</v>
      </c>
      <c r="H56" t="str">
        <f>VLOOKUP(MID(A56,LEN(A56)-2,1)*1,DATA!G:H,2,FALSE)</f>
        <v>PVP</v>
      </c>
      <c r="I56" t="str">
        <f>VLOOKUP(F56,DATA!B:D,3,FALSE)</f>
        <v>轻机枪</v>
      </c>
    </row>
    <row r="57" spans="1:9" x14ac:dyDescent="0.15">
      <c r="A57">
        <v>10303001</v>
      </c>
      <c r="B57">
        <f>VLOOKUP(A57,'Fox1'!A:F,2,FALSE)</f>
        <v>2</v>
      </c>
      <c r="C57" t="str">
        <f>VLOOKUP(A57,'Fox1'!A:E,5,FALSE)</f>
        <v>S36</v>
      </c>
      <c r="D57" t="str">
        <f>VLOOKUP(A57,'Fox1'!A:F,6,FALSE)</f>
        <v>Fully automatic LMG.Highest rate of fire in class</v>
      </c>
      <c r="E57">
        <f t="shared" si="0"/>
        <v>1</v>
      </c>
      <c r="F57">
        <f t="shared" si="1"/>
        <v>103</v>
      </c>
      <c r="G57" t="str">
        <f>VLOOKUP(E57,DATA!A:C,3,FALSE)</f>
        <v>枪械</v>
      </c>
      <c r="H57" t="str">
        <f>VLOOKUP(MID(A57,LEN(A57)-2,1)*1,DATA!G:H,2,FALSE)</f>
        <v>PVP</v>
      </c>
      <c r="I57" t="str">
        <f>VLOOKUP(F57,DATA!B:D,3,FALSE)</f>
        <v>轻机枪</v>
      </c>
    </row>
    <row r="58" spans="1:9" x14ac:dyDescent="0.15">
      <c r="A58">
        <v>10303002</v>
      </c>
      <c r="B58">
        <f>VLOOKUP(A58,'Fox1'!A:F,2,FALSE)</f>
        <v>3</v>
      </c>
      <c r="C58" t="str">
        <f>VLOOKUP(A58,'Fox1'!A:E,5,FALSE)</f>
        <v>S36</v>
      </c>
      <c r="D58" t="str">
        <f>VLOOKUP(A58,'Fox1'!A:F,6,FALSE)</f>
        <v>Fully automatic LMG.Highest rate of fire in class</v>
      </c>
      <c r="E58">
        <f t="shared" si="0"/>
        <v>1</v>
      </c>
      <c r="F58">
        <f t="shared" si="1"/>
        <v>103</v>
      </c>
      <c r="G58" t="str">
        <f>VLOOKUP(E58,DATA!A:C,3,FALSE)</f>
        <v>枪械</v>
      </c>
      <c r="H58" t="str">
        <f>VLOOKUP(MID(A58,LEN(A58)-2,1)*1,DATA!G:H,2,FALSE)</f>
        <v>PVP</v>
      </c>
      <c r="I58" t="str">
        <f>VLOOKUP(F58,DATA!B:D,3,FALSE)</f>
        <v>轻机枪</v>
      </c>
    </row>
    <row r="59" spans="1:9" x14ac:dyDescent="0.15">
      <c r="A59">
        <v>10303003</v>
      </c>
      <c r="B59">
        <f>VLOOKUP(A59,'Fox1'!A:F,2,FALSE)</f>
        <v>4</v>
      </c>
      <c r="C59" t="str">
        <f>VLOOKUP(A59,'Fox1'!A:E,5,FALSE)</f>
        <v>S36</v>
      </c>
      <c r="D59" t="str">
        <f>VLOOKUP(A59,'Fox1'!A:F,6,FALSE)</f>
        <v>Fully automatic LMG.Highest rate of fire in class</v>
      </c>
      <c r="E59">
        <f t="shared" si="0"/>
        <v>1</v>
      </c>
      <c r="F59">
        <f t="shared" si="1"/>
        <v>103</v>
      </c>
      <c r="G59" t="str">
        <f>VLOOKUP(E59,DATA!A:C,3,FALSE)</f>
        <v>枪械</v>
      </c>
      <c r="H59" t="str">
        <f>VLOOKUP(MID(A59,LEN(A59)-2,1)*1,DATA!G:H,2,FALSE)</f>
        <v>PVP</v>
      </c>
      <c r="I59" t="str">
        <f>VLOOKUP(F59,DATA!B:D,3,FALSE)</f>
        <v>轻机枪</v>
      </c>
    </row>
    <row r="60" spans="1:9" x14ac:dyDescent="0.15">
      <c r="A60">
        <v>10303004</v>
      </c>
      <c r="B60">
        <f>VLOOKUP(A60,'Fox1'!A:F,2,FALSE)</f>
        <v>1</v>
      </c>
      <c r="C60" t="str">
        <f>VLOOKUP(A60,'Fox1'!A:E,5,FALSE)</f>
        <v>S36</v>
      </c>
      <c r="D60" t="str">
        <f>VLOOKUP(A60,'Fox1'!A:F,6,FALSE)</f>
        <v>Fully automatic LMG.Highest rate of fire in class</v>
      </c>
      <c r="E60">
        <f t="shared" si="0"/>
        <v>1</v>
      </c>
      <c r="F60">
        <f t="shared" si="1"/>
        <v>103</v>
      </c>
      <c r="G60" t="str">
        <f>VLOOKUP(E60,DATA!A:C,3,FALSE)</f>
        <v>枪械</v>
      </c>
      <c r="H60" t="str">
        <f>VLOOKUP(MID(A60,LEN(A60)-2,1)*1,DATA!G:H,2,FALSE)</f>
        <v>PVP</v>
      </c>
      <c r="I60" t="str">
        <f>VLOOKUP(F60,DATA!B:D,3,FALSE)</f>
        <v>轻机枪</v>
      </c>
    </row>
    <row r="61" spans="1:9" x14ac:dyDescent="0.15">
      <c r="A61">
        <v>10401001</v>
      </c>
      <c r="B61">
        <f>VLOOKUP(A61,'Fox1'!A:F,2,FALSE)</f>
        <v>2</v>
      </c>
      <c r="C61" t="str">
        <f>VLOOKUP(A61,'Fox1'!A:E,5,FALSE)</f>
        <v>MP7</v>
      </c>
      <c r="D61" t="str">
        <f>VLOOKUP(A61,'Fox1'!A:F,6,FALSE)</f>
        <v>Fully automatic personal defense weapon.Versatile and strong overall.</v>
      </c>
      <c r="E61">
        <f t="shared" si="0"/>
        <v>1</v>
      </c>
      <c r="F61">
        <f t="shared" si="1"/>
        <v>104</v>
      </c>
      <c r="G61" t="str">
        <f>VLOOKUP(E61,DATA!A:C,3,FALSE)</f>
        <v>枪械</v>
      </c>
      <c r="H61" t="str">
        <f>VLOOKUP(MID(A61,LEN(A61)-2,1)*1,DATA!G:H,2,FALSE)</f>
        <v>PVP</v>
      </c>
      <c r="I61" t="str">
        <f>VLOOKUP(F61,DATA!B:D,3,FALSE)</f>
        <v>冲锋枪</v>
      </c>
    </row>
    <row r="62" spans="1:9" x14ac:dyDescent="0.15">
      <c r="A62">
        <v>10401002</v>
      </c>
      <c r="B62">
        <f>VLOOKUP(A62,'Fox1'!A:F,2,FALSE)</f>
        <v>3</v>
      </c>
      <c r="C62" t="str">
        <f>VLOOKUP(A62,'Fox1'!A:E,5,FALSE)</f>
        <v>MP7</v>
      </c>
      <c r="D62" t="str">
        <f>VLOOKUP(A62,'Fox1'!A:F,6,FALSE)</f>
        <v>Fully automatic personal defense weapon.Versatile and strong overall.</v>
      </c>
      <c r="E62">
        <f t="shared" si="0"/>
        <v>1</v>
      </c>
      <c r="F62">
        <f t="shared" si="1"/>
        <v>104</v>
      </c>
      <c r="G62" t="str">
        <f>VLOOKUP(E62,DATA!A:C,3,FALSE)</f>
        <v>枪械</v>
      </c>
      <c r="H62" t="str">
        <f>VLOOKUP(MID(A62,LEN(A62)-2,1)*1,DATA!G:H,2,FALSE)</f>
        <v>PVP</v>
      </c>
      <c r="I62" t="str">
        <f>VLOOKUP(F62,DATA!B:D,3,FALSE)</f>
        <v>冲锋枪</v>
      </c>
    </row>
    <row r="63" spans="1:9" x14ac:dyDescent="0.15">
      <c r="A63">
        <v>10401003</v>
      </c>
      <c r="B63">
        <f>VLOOKUP(A63,'Fox1'!A:F,2,FALSE)</f>
        <v>4</v>
      </c>
      <c r="C63" t="str">
        <f>VLOOKUP(A63,'Fox1'!A:E,5,FALSE)</f>
        <v>MP7</v>
      </c>
      <c r="D63" t="str">
        <f>VLOOKUP(A63,'Fox1'!A:F,6,FALSE)</f>
        <v>Fully automatic personal defense weapon.Versatile and strong overall.</v>
      </c>
      <c r="E63">
        <f t="shared" si="0"/>
        <v>1</v>
      </c>
      <c r="F63">
        <f t="shared" si="1"/>
        <v>104</v>
      </c>
      <c r="G63" t="str">
        <f>VLOOKUP(E63,DATA!A:C,3,FALSE)</f>
        <v>枪械</v>
      </c>
      <c r="H63" t="str">
        <f>VLOOKUP(MID(A63,LEN(A63)-2,1)*1,DATA!G:H,2,FALSE)</f>
        <v>PVP</v>
      </c>
      <c r="I63" t="str">
        <f>VLOOKUP(F63,DATA!B:D,3,FALSE)</f>
        <v>冲锋枪</v>
      </c>
    </row>
    <row r="64" spans="1:9" x14ac:dyDescent="0.15">
      <c r="A64">
        <v>10401004</v>
      </c>
      <c r="B64">
        <f>VLOOKUP(A64,'Fox1'!A:F,2,FALSE)</f>
        <v>1</v>
      </c>
      <c r="C64" t="str">
        <f>VLOOKUP(A64,'Fox1'!A:E,5,FALSE)</f>
        <v>MP7</v>
      </c>
      <c r="D64" t="str">
        <f>VLOOKUP(A64,'Fox1'!A:F,6,FALSE)</f>
        <v>Fully automatic personal defense weapon.Versatile and strong overall.</v>
      </c>
      <c r="E64">
        <f t="shared" si="0"/>
        <v>1</v>
      </c>
      <c r="F64">
        <f t="shared" si="1"/>
        <v>104</v>
      </c>
      <c r="G64" t="str">
        <f>VLOOKUP(E64,DATA!A:C,3,FALSE)</f>
        <v>枪械</v>
      </c>
      <c r="H64" t="str">
        <f>VLOOKUP(MID(A64,LEN(A64)-2,1)*1,DATA!G:H,2,FALSE)</f>
        <v>PVP</v>
      </c>
      <c r="I64" t="str">
        <f>VLOOKUP(F64,DATA!B:D,3,FALSE)</f>
        <v>冲锋枪</v>
      </c>
    </row>
    <row r="65" spans="1:9" x14ac:dyDescent="0.15">
      <c r="A65">
        <v>10402001</v>
      </c>
      <c r="B65">
        <f>VLOOKUP(A65,'Fox1'!A:F,2,FALSE)</f>
        <v>2</v>
      </c>
      <c r="C65" t="str">
        <f>VLOOKUP(A65,'Fox1'!A:E,5,FALSE)</f>
        <v>Vector K10</v>
      </c>
      <c r="D65" t="str">
        <f>VLOOKUP(A65,'Fox1'!A:F,6,FALSE)</f>
        <v>Fully automatic submachine gun.Incorporates recoil mitigation technology.</v>
      </c>
      <c r="E65">
        <f t="shared" si="0"/>
        <v>1</v>
      </c>
      <c r="F65">
        <f t="shared" si="1"/>
        <v>104</v>
      </c>
      <c r="G65" t="str">
        <f>VLOOKUP(E65,DATA!A:C,3,FALSE)</f>
        <v>枪械</v>
      </c>
      <c r="H65" t="str">
        <f>VLOOKUP(MID(A65,LEN(A65)-2,1)*1,DATA!G:H,2,FALSE)</f>
        <v>PVP</v>
      </c>
      <c r="I65" t="str">
        <f>VLOOKUP(F65,DATA!B:D,3,FALSE)</f>
        <v>冲锋枪</v>
      </c>
    </row>
    <row r="66" spans="1:9" x14ac:dyDescent="0.15">
      <c r="A66">
        <v>10402002</v>
      </c>
      <c r="B66">
        <f>VLOOKUP(A66,'Fox1'!A:F,2,FALSE)</f>
        <v>3</v>
      </c>
      <c r="C66" t="str">
        <f>VLOOKUP(A66,'Fox1'!A:E,5,FALSE)</f>
        <v>Vector K10</v>
      </c>
      <c r="D66" t="str">
        <f>VLOOKUP(A66,'Fox1'!A:F,6,FALSE)</f>
        <v>Fully automatic submachine gun.Incorporates recoil mitigation technology.</v>
      </c>
      <c r="E66">
        <f t="shared" ref="E66:E129" si="2">LEFT(A66,LEN(A66)-7)*1</f>
        <v>1</v>
      </c>
      <c r="F66">
        <f t="shared" ref="F66:F129" si="3">LEFT(A66,LEN(A66)-5)*1</f>
        <v>104</v>
      </c>
      <c r="G66" t="str">
        <f>VLOOKUP(E66,DATA!A:C,3,FALSE)</f>
        <v>枪械</v>
      </c>
      <c r="H66" t="str">
        <f>VLOOKUP(MID(A66,LEN(A66)-2,1)*1,DATA!G:H,2,FALSE)</f>
        <v>PVP</v>
      </c>
      <c r="I66" t="str">
        <f>VLOOKUP(F66,DATA!B:D,3,FALSE)</f>
        <v>冲锋枪</v>
      </c>
    </row>
    <row r="67" spans="1:9" x14ac:dyDescent="0.15">
      <c r="A67">
        <v>10402003</v>
      </c>
      <c r="B67">
        <f>VLOOKUP(A67,'Fox1'!A:F,2,FALSE)</f>
        <v>4</v>
      </c>
      <c r="C67" t="str">
        <f>VLOOKUP(A67,'Fox1'!A:E,5,FALSE)</f>
        <v>Vector K10</v>
      </c>
      <c r="D67" t="str">
        <f>VLOOKUP(A67,'Fox1'!A:F,6,FALSE)</f>
        <v>Fully automatic submachine gun.Incorporates recoil mitigation technology.</v>
      </c>
      <c r="E67">
        <f t="shared" si="2"/>
        <v>1</v>
      </c>
      <c r="F67">
        <f t="shared" si="3"/>
        <v>104</v>
      </c>
      <c r="G67" t="str">
        <f>VLOOKUP(E67,DATA!A:C,3,FALSE)</f>
        <v>枪械</v>
      </c>
      <c r="H67" t="str">
        <f>VLOOKUP(MID(A67,LEN(A67)-2,1)*1,DATA!G:H,2,FALSE)</f>
        <v>PVP</v>
      </c>
      <c r="I67" t="str">
        <f>VLOOKUP(F67,DATA!B:D,3,FALSE)</f>
        <v>冲锋枪</v>
      </c>
    </row>
    <row r="68" spans="1:9" x14ac:dyDescent="0.15">
      <c r="A68">
        <v>10402004</v>
      </c>
      <c r="B68">
        <f>VLOOKUP(A68,'Fox1'!A:F,2,FALSE)</f>
        <v>5</v>
      </c>
      <c r="C68" t="str">
        <f>VLOOKUP(A68,'Fox1'!A:E,5,FALSE)</f>
        <v>Vector K10</v>
      </c>
      <c r="D68" t="str">
        <f>VLOOKUP(A68,'Fox1'!A:F,6,FALSE)</f>
        <v>Fully automatic submachine gun.Incorporates recoil mitigation technology.</v>
      </c>
      <c r="E68">
        <f t="shared" si="2"/>
        <v>1</v>
      </c>
      <c r="F68">
        <f t="shared" si="3"/>
        <v>104</v>
      </c>
      <c r="G68" t="str">
        <f>VLOOKUP(E68,DATA!A:C,3,FALSE)</f>
        <v>枪械</v>
      </c>
      <c r="H68" t="str">
        <f>VLOOKUP(MID(A68,LEN(A68)-2,1)*1,DATA!G:H,2,FALSE)</f>
        <v>PVP</v>
      </c>
      <c r="I68" t="str">
        <f>VLOOKUP(F68,DATA!B:D,3,FALSE)</f>
        <v>冲锋枪</v>
      </c>
    </row>
    <row r="69" spans="1:9" x14ac:dyDescent="0.15">
      <c r="A69">
        <v>10402005</v>
      </c>
      <c r="B69">
        <f>VLOOKUP(A69,'Fox1'!A:F,2,FALSE)</f>
        <v>1</v>
      </c>
      <c r="C69" t="str">
        <f>VLOOKUP(A69,'Fox1'!A:E,5,FALSE)</f>
        <v>Vector K10</v>
      </c>
      <c r="D69" t="str">
        <f>VLOOKUP(A69,'Fox1'!A:F,6,FALSE)</f>
        <v>Fully automatic submachine gun.Incorporates recoil mitigation technology.</v>
      </c>
      <c r="E69">
        <f t="shared" si="2"/>
        <v>1</v>
      </c>
      <c r="F69">
        <f t="shared" si="3"/>
        <v>104</v>
      </c>
      <c r="G69" t="str">
        <f>VLOOKUP(E69,DATA!A:C,3,FALSE)</f>
        <v>枪械</v>
      </c>
      <c r="H69" t="str">
        <f>VLOOKUP(MID(A69,LEN(A69)-2,1)*1,DATA!G:H,2,FALSE)</f>
        <v>PVP</v>
      </c>
      <c r="I69" t="str">
        <f>VLOOKUP(F69,DATA!B:D,3,FALSE)</f>
        <v>冲锋枪</v>
      </c>
    </row>
    <row r="70" spans="1:9" x14ac:dyDescent="0.15">
      <c r="A70">
        <v>10403001</v>
      </c>
      <c r="B70">
        <f>VLOOKUP(A70,'Fox1'!A:F,2,FALSE)</f>
        <v>1</v>
      </c>
      <c r="C70" t="str">
        <f>VLOOKUP(A70,'Fox1'!A:E,5,FALSE)</f>
        <v>AKS-74U</v>
      </c>
      <c r="D70" t="str">
        <f>VLOOKUP(A70,'Fox1'!A:F,6,FALSE)</f>
        <v>Fully automatic submachine gun.Terse and forceful in AK serie. Extra powerful with the 5.45 mm bullet.</v>
      </c>
      <c r="E70">
        <f t="shared" si="2"/>
        <v>1</v>
      </c>
      <c r="F70">
        <f t="shared" si="3"/>
        <v>104</v>
      </c>
      <c r="G70" t="str">
        <f>VLOOKUP(E70,DATA!A:C,3,FALSE)</f>
        <v>枪械</v>
      </c>
      <c r="H70" t="str">
        <f>VLOOKUP(MID(A70,LEN(A70)-2,1)*1,DATA!G:H,2,FALSE)</f>
        <v>PVP</v>
      </c>
      <c r="I70" t="str">
        <f>VLOOKUP(F70,DATA!B:D,3,FALSE)</f>
        <v>冲锋枪</v>
      </c>
    </row>
    <row r="71" spans="1:9" x14ac:dyDescent="0.15">
      <c r="A71">
        <v>10403002</v>
      </c>
      <c r="B71">
        <f>VLOOKUP(A71,'Fox1'!A:F,2,FALSE)</f>
        <v>2</v>
      </c>
      <c r="C71" t="str">
        <f>VLOOKUP(A71,'Fox1'!A:E,5,FALSE)</f>
        <v>AKS-74U</v>
      </c>
      <c r="D71" t="str">
        <f>VLOOKUP(A71,'Fox1'!A:F,6,FALSE)</f>
        <v>Fully automatic submachine gun.Terse and forceful in AK serie. Extra powerful with the 5.46 mm bullet.</v>
      </c>
      <c r="E71">
        <f t="shared" si="2"/>
        <v>1</v>
      </c>
      <c r="F71">
        <f t="shared" si="3"/>
        <v>104</v>
      </c>
      <c r="G71" t="str">
        <f>VLOOKUP(E71,DATA!A:C,3,FALSE)</f>
        <v>枪械</v>
      </c>
      <c r="H71" t="str">
        <f>VLOOKUP(MID(A71,LEN(A71)-2,1)*1,DATA!G:H,2,FALSE)</f>
        <v>PVP</v>
      </c>
      <c r="I71" t="str">
        <f>VLOOKUP(F71,DATA!B:D,3,FALSE)</f>
        <v>冲锋枪</v>
      </c>
    </row>
    <row r="72" spans="1:9" x14ac:dyDescent="0.15">
      <c r="A72">
        <v>10403003</v>
      </c>
      <c r="B72">
        <f>VLOOKUP(A72,'Fox1'!A:F,2,FALSE)</f>
        <v>3</v>
      </c>
      <c r="C72" t="str">
        <f>VLOOKUP(A72,'Fox1'!A:E,5,FALSE)</f>
        <v>AKS-74U</v>
      </c>
      <c r="D72" t="str">
        <f>VLOOKUP(A72,'Fox1'!A:F,6,FALSE)</f>
        <v>Fully automatic submachine gun.Terse and forceful in AK serie. Extra powerful with the 5.47 mm bullet.</v>
      </c>
      <c r="E72">
        <f t="shared" si="2"/>
        <v>1</v>
      </c>
      <c r="F72">
        <f t="shared" si="3"/>
        <v>104</v>
      </c>
      <c r="G72" t="str">
        <f>VLOOKUP(E72,DATA!A:C,3,FALSE)</f>
        <v>枪械</v>
      </c>
      <c r="H72" t="str">
        <f>VLOOKUP(MID(A72,LEN(A72)-2,1)*1,DATA!G:H,2,FALSE)</f>
        <v>PVP</v>
      </c>
      <c r="I72" t="str">
        <f>VLOOKUP(F72,DATA!B:D,3,FALSE)</f>
        <v>冲锋枪</v>
      </c>
    </row>
    <row r="73" spans="1:9" x14ac:dyDescent="0.15">
      <c r="A73">
        <v>10403004</v>
      </c>
      <c r="B73">
        <f>VLOOKUP(A73,'Fox1'!A:F,2,FALSE)</f>
        <v>4</v>
      </c>
      <c r="C73" t="str">
        <f>VLOOKUP(A73,'Fox1'!A:E,5,FALSE)</f>
        <v>AKS-74U</v>
      </c>
      <c r="D73" t="str">
        <f>VLOOKUP(A73,'Fox1'!A:F,6,FALSE)</f>
        <v>Fully automatic submachine gun.Terse and forceful in AK serie. Extra powerful with the 5.48 mm bullet.</v>
      </c>
      <c r="E73">
        <f t="shared" si="2"/>
        <v>1</v>
      </c>
      <c r="F73">
        <f t="shared" si="3"/>
        <v>104</v>
      </c>
      <c r="G73" t="str">
        <f>VLOOKUP(E73,DATA!A:C,3,FALSE)</f>
        <v>枪械</v>
      </c>
      <c r="H73" t="str">
        <f>VLOOKUP(MID(A73,LEN(A73)-2,1)*1,DATA!G:H,2,FALSE)</f>
        <v>PVP</v>
      </c>
      <c r="I73" t="str">
        <f>VLOOKUP(F73,DATA!B:D,3,FALSE)</f>
        <v>冲锋枪</v>
      </c>
    </row>
    <row r="74" spans="1:9" x14ac:dyDescent="0.15">
      <c r="A74">
        <v>10501001</v>
      </c>
      <c r="B74">
        <f>VLOOKUP(A74,'Fox1'!A:F,2,FALSE)</f>
        <v>2</v>
      </c>
      <c r="C74" t="str">
        <f>VLOOKUP(A74,'Fox1'!A:E,5,FALSE)</f>
        <v>R870 MCS</v>
      </c>
      <c r="D74" t="str">
        <f>VLOOKUP(A74,'Fox1'!A:F,6,FALSE)</f>
        <v>Pump action shotgun.Strong damage and range.</v>
      </c>
      <c r="E74">
        <f t="shared" si="2"/>
        <v>1</v>
      </c>
      <c r="F74">
        <f t="shared" si="3"/>
        <v>105</v>
      </c>
      <c r="G74" t="str">
        <f>VLOOKUP(E74,DATA!A:C,3,FALSE)</f>
        <v>枪械</v>
      </c>
      <c r="H74" t="str">
        <f>VLOOKUP(MID(A74,LEN(A74)-2,1)*1,DATA!G:H,2,FALSE)</f>
        <v>PVP</v>
      </c>
      <c r="I74" t="str">
        <f>VLOOKUP(F74,DATA!B:D,3,FALSE)</f>
        <v>散弹枪</v>
      </c>
    </row>
    <row r="75" spans="1:9" x14ac:dyDescent="0.15">
      <c r="A75">
        <v>10501002</v>
      </c>
      <c r="B75">
        <f>VLOOKUP(A75,'Fox1'!A:F,2,FALSE)</f>
        <v>3</v>
      </c>
      <c r="C75" t="str">
        <f>VLOOKUP(A75,'Fox1'!A:E,5,FALSE)</f>
        <v>R870 MCS</v>
      </c>
      <c r="D75" t="str">
        <f>VLOOKUP(A75,'Fox1'!A:F,6,FALSE)</f>
        <v>Pump action shotgun.Strong damage and range.</v>
      </c>
      <c r="E75">
        <f t="shared" si="2"/>
        <v>1</v>
      </c>
      <c r="F75">
        <f t="shared" si="3"/>
        <v>105</v>
      </c>
      <c r="G75" t="str">
        <f>VLOOKUP(E75,DATA!A:C,3,FALSE)</f>
        <v>枪械</v>
      </c>
      <c r="H75" t="str">
        <f>VLOOKUP(MID(A75,LEN(A75)-2,1)*1,DATA!G:H,2,FALSE)</f>
        <v>PVP</v>
      </c>
      <c r="I75" t="str">
        <f>VLOOKUP(F75,DATA!B:D,3,FALSE)</f>
        <v>散弹枪</v>
      </c>
    </row>
    <row r="76" spans="1:9" x14ac:dyDescent="0.15">
      <c r="A76">
        <v>10501003</v>
      </c>
      <c r="B76">
        <f>VLOOKUP(A76,'Fox1'!A:F,2,FALSE)</f>
        <v>4</v>
      </c>
      <c r="C76" t="str">
        <f>VLOOKUP(A76,'Fox1'!A:E,5,FALSE)</f>
        <v>R870 MCS</v>
      </c>
      <c r="D76" t="str">
        <f>VLOOKUP(A76,'Fox1'!A:F,6,FALSE)</f>
        <v>Pump action shotgun.Strong damage and range.</v>
      </c>
      <c r="E76">
        <f t="shared" si="2"/>
        <v>1</v>
      </c>
      <c r="F76">
        <f t="shared" si="3"/>
        <v>105</v>
      </c>
      <c r="G76" t="str">
        <f>VLOOKUP(E76,DATA!A:C,3,FALSE)</f>
        <v>枪械</v>
      </c>
      <c r="H76" t="str">
        <f>VLOOKUP(MID(A76,LEN(A76)-2,1)*1,DATA!G:H,2,FALSE)</f>
        <v>PVP</v>
      </c>
      <c r="I76" t="str">
        <f>VLOOKUP(F76,DATA!B:D,3,FALSE)</f>
        <v>散弹枪</v>
      </c>
    </row>
    <row r="77" spans="1:9" x14ac:dyDescent="0.15">
      <c r="A77">
        <v>10501004</v>
      </c>
      <c r="B77">
        <f>VLOOKUP(A77,'Fox1'!A:F,2,FALSE)</f>
        <v>1</v>
      </c>
      <c r="C77" t="str">
        <f>VLOOKUP(A77,'Fox1'!A:E,5,FALSE)</f>
        <v>R870 MCS</v>
      </c>
      <c r="D77" t="str">
        <f>VLOOKUP(A77,'Fox1'!A:F,6,FALSE)</f>
        <v>Pump action shotgun.Strong damage and range.</v>
      </c>
      <c r="E77">
        <f t="shared" si="2"/>
        <v>1</v>
      </c>
      <c r="F77">
        <f t="shared" si="3"/>
        <v>105</v>
      </c>
      <c r="G77" t="str">
        <f>VLOOKUP(E77,DATA!A:C,3,FALSE)</f>
        <v>枪械</v>
      </c>
      <c r="H77" t="str">
        <f>VLOOKUP(MID(A77,LEN(A77)-2,1)*1,DATA!G:H,2,FALSE)</f>
        <v>PVP</v>
      </c>
      <c r="I77" t="str">
        <f>VLOOKUP(F77,DATA!B:D,3,FALSE)</f>
        <v>散弹枪</v>
      </c>
    </row>
    <row r="78" spans="1:9" x14ac:dyDescent="0.15">
      <c r="A78">
        <v>10502001</v>
      </c>
      <c r="B78">
        <f>VLOOKUP(A78,'Fox1'!A:F,2,FALSE)</f>
        <v>2</v>
      </c>
      <c r="C78" t="str">
        <f>VLOOKUP(A78,'Fox1'!A:E,5,FALSE)</f>
        <v>HS2126</v>
      </c>
      <c r="D78" t="str">
        <f>VLOOKUP(A78,'Fox1'!A:F,6,FALSE)</f>
        <v>Fully automatic shotgun with high fire rate.</v>
      </c>
      <c r="E78">
        <f t="shared" si="2"/>
        <v>1</v>
      </c>
      <c r="F78">
        <f t="shared" si="3"/>
        <v>105</v>
      </c>
      <c r="G78" t="str">
        <f>VLOOKUP(E78,DATA!A:C,3,FALSE)</f>
        <v>枪械</v>
      </c>
      <c r="H78" t="str">
        <f>VLOOKUP(MID(A78,LEN(A78)-2,1)*1,DATA!G:H,2,FALSE)</f>
        <v>PVP</v>
      </c>
      <c r="I78" t="str">
        <f>VLOOKUP(F78,DATA!B:D,3,FALSE)</f>
        <v>散弹枪</v>
      </c>
    </row>
    <row r="79" spans="1:9" x14ac:dyDescent="0.15">
      <c r="A79">
        <v>10502002</v>
      </c>
      <c r="B79">
        <f>VLOOKUP(A79,'Fox1'!A:F,2,FALSE)</f>
        <v>3</v>
      </c>
      <c r="C79" t="str">
        <f>VLOOKUP(A79,'Fox1'!A:E,5,FALSE)</f>
        <v>HS2126</v>
      </c>
      <c r="D79" t="str">
        <f>VLOOKUP(A79,'Fox1'!A:F,6,FALSE)</f>
        <v>Fully automatic shotgun with high fire rate.</v>
      </c>
      <c r="E79">
        <f t="shared" si="2"/>
        <v>1</v>
      </c>
      <c r="F79">
        <f t="shared" si="3"/>
        <v>105</v>
      </c>
      <c r="G79" t="str">
        <f>VLOOKUP(E79,DATA!A:C,3,FALSE)</f>
        <v>枪械</v>
      </c>
      <c r="H79" t="str">
        <f>VLOOKUP(MID(A79,LEN(A79)-2,1)*1,DATA!G:H,2,FALSE)</f>
        <v>PVP</v>
      </c>
      <c r="I79" t="str">
        <f>VLOOKUP(F79,DATA!B:D,3,FALSE)</f>
        <v>散弹枪</v>
      </c>
    </row>
    <row r="80" spans="1:9" x14ac:dyDescent="0.15">
      <c r="A80">
        <v>10502003</v>
      </c>
      <c r="B80">
        <f>VLOOKUP(A80,'Fox1'!A:F,2,FALSE)</f>
        <v>4</v>
      </c>
      <c r="C80" t="str">
        <f>VLOOKUP(A80,'Fox1'!A:E,5,FALSE)</f>
        <v>HS2126</v>
      </c>
      <c r="D80" t="str">
        <f>VLOOKUP(A80,'Fox1'!A:F,6,FALSE)</f>
        <v>Fully automatic shotgun with high fire rate.</v>
      </c>
      <c r="E80">
        <f t="shared" si="2"/>
        <v>1</v>
      </c>
      <c r="F80">
        <f t="shared" si="3"/>
        <v>105</v>
      </c>
      <c r="G80" t="str">
        <f>VLOOKUP(E80,DATA!A:C,3,FALSE)</f>
        <v>枪械</v>
      </c>
      <c r="H80" t="str">
        <f>VLOOKUP(MID(A80,LEN(A80)-2,1)*1,DATA!G:H,2,FALSE)</f>
        <v>PVP</v>
      </c>
      <c r="I80" t="str">
        <f>VLOOKUP(F80,DATA!B:D,3,FALSE)</f>
        <v>散弹枪</v>
      </c>
    </row>
    <row r="81" spans="1:9" x14ac:dyDescent="0.15">
      <c r="A81">
        <v>10502004</v>
      </c>
      <c r="B81">
        <f>VLOOKUP(A81,'Fox1'!A:F,2,FALSE)</f>
        <v>5</v>
      </c>
      <c r="C81" t="str">
        <f>VLOOKUP(A81,'Fox1'!A:E,5,FALSE)</f>
        <v>HS2126</v>
      </c>
      <c r="D81" t="str">
        <f>VLOOKUP(A81,'Fox1'!A:F,6,FALSE)</f>
        <v>Fully automatic shotgun with high fire rate.</v>
      </c>
      <c r="E81">
        <f t="shared" si="2"/>
        <v>1</v>
      </c>
      <c r="F81">
        <f t="shared" si="3"/>
        <v>105</v>
      </c>
      <c r="G81" t="str">
        <f>VLOOKUP(E81,DATA!A:C,3,FALSE)</f>
        <v>枪械</v>
      </c>
      <c r="H81" t="str">
        <f>VLOOKUP(MID(A81,LEN(A81)-2,1)*1,DATA!G:H,2,FALSE)</f>
        <v>PVP</v>
      </c>
      <c r="I81" t="str">
        <f>VLOOKUP(F81,DATA!B:D,3,FALSE)</f>
        <v>散弹枪</v>
      </c>
    </row>
    <row r="82" spans="1:9" x14ac:dyDescent="0.15">
      <c r="A82">
        <v>10502005</v>
      </c>
      <c r="B82">
        <f>VLOOKUP(A82,'Fox1'!A:F,2,FALSE)</f>
        <v>1</v>
      </c>
      <c r="C82" t="str">
        <f>VLOOKUP(A82,'Fox1'!A:E,5,FALSE)</f>
        <v>HS2126</v>
      </c>
      <c r="D82" t="str">
        <f>VLOOKUP(A82,'Fox1'!A:F,6,FALSE)</f>
        <v>Fully automatic shotgun with high fire rate.</v>
      </c>
      <c r="E82">
        <f t="shared" si="2"/>
        <v>1</v>
      </c>
      <c r="F82">
        <f t="shared" si="3"/>
        <v>105</v>
      </c>
      <c r="G82" t="str">
        <f>VLOOKUP(E82,DATA!A:C,3,FALSE)</f>
        <v>枪械</v>
      </c>
      <c r="H82" t="str">
        <f>VLOOKUP(MID(A82,LEN(A82)-2,1)*1,DATA!G:H,2,FALSE)</f>
        <v>PVP</v>
      </c>
      <c r="I82" t="str">
        <f>VLOOKUP(F82,DATA!B:D,3,FALSE)</f>
        <v>散弹枪</v>
      </c>
    </row>
    <row r="83" spans="1:9" x14ac:dyDescent="0.15">
      <c r="A83">
        <v>10503001</v>
      </c>
      <c r="B83">
        <f>VLOOKUP(A83,'Fox1'!A:F,2,FALSE)</f>
        <v>2</v>
      </c>
      <c r="C83" t="str">
        <f>VLOOKUP(A83,'Fox1'!A:E,5,FALSE)</f>
        <v>BY15</v>
      </c>
      <c r="D83" t="str">
        <f>VLOOKUP(A83,'Fox1'!A:F,6,FALSE)</f>
        <v>Pump action shotgun.Effective at close range.</v>
      </c>
      <c r="E83">
        <f t="shared" si="2"/>
        <v>1</v>
      </c>
      <c r="F83">
        <f t="shared" si="3"/>
        <v>105</v>
      </c>
      <c r="G83" t="str">
        <f>VLOOKUP(E83,DATA!A:C,3,FALSE)</f>
        <v>枪械</v>
      </c>
      <c r="H83" t="str">
        <f>VLOOKUP(MID(A83,LEN(A83)-2,1)*1,DATA!G:H,2,FALSE)</f>
        <v>PVP</v>
      </c>
      <c r="I83" t="str">
        <f>VLOOKUP(F83,DATA!B:D,3,FALSE)</f>
        <v>散弹枪</v>
      </c>
    </row>
    <row r="84" spans="1:9" x14ac:dyDescent="0.15">
      <c r="A84">
        <v>10503002</v>
      </c>
      <c r="B84">
        <f>VLOOKUP(A84,'Fox1'!A:F,2,FALSE)</f>
        <v>3</v>
      </c>
      <c r="C84" t="str">
        <f>VLOOKUP(A84,'Fox1'!A:E,5,FALSE)</f>
        <v>BY15</v>
      </c>
      <c r="D84" t="str">
        <f>VLOOKUP(A84,'Fox1'!A:F,6,FALSE)</f>
        <v>Pump action shotgun.Effective at close range.</v>
      </c>
      <c r="E84">
        <f t="shared" si="2"/>
        <v>1</v>
      </c>
      <c r="F84">
        <f t="shared" si="3"/>
        <v>105</v>
      </c>
      <c r="G84" t="str">
        <f>VLOOKUP(E84,DATA!A:C,3,FALSE)</f>
        <v>枪械</v>
      </c>
      <c r="H84" t="str">
        <f>VLOOKUP(MID(A84,LEN(A84)-2,1)*1,DATA!G:H,2,FALSE)</f>
        <v>PVP</v>
      </c>
      <c r="I84" t="str">
        <f>VLOOKUP(F84,DATA!B:D,3,FALSE)</f>
        <v>散弹枪</v>
      </c>
    </row>
    <row r="85" spans="1:9" x14ac:dyDescent="0.15">
      <c r="A85">
        <v>10503003</v>
      </c>
      <c r="B85">
        <f>VLOOKUP(A85,'Fox1'!A:F,2,FALSE)</f>
        <v>4</v>
      </c>
      <c r="C85" t="str">
        <f>VLOOKUP(A85,'Fox1'!A:E,5,FALSE)</f>
        <v>BY15</v>
      </c>
      <c r="D85" t="str">
        <f>VLOOKUP(A85,'Fox1'!A:F,6,FALSE)</f>
        <v>Pump action shotgun.Effective at close range.</v>
      </c>
      <c r="E85">
        <f t="shared" si="2"/>
        <v>1</v>
      </c>
      <c r="F85">
        <f t="shared" si="3"/>
        <v>105</v>
      </c>
      <c r="G85" t="str">
        <f>VLOOKUP(E85,DATA!A:C,3,FALSE)</f>
        <v>枪械</v>
      </c>
      <c r="H85" t="str">
        <f>VLOOKUP(MID(A85,LEN(A85)-2,1)*1,DATA!G:H,2,FALSE)</f>
        <v>PVP</v>
      </c>
      <c r="I85" t="str">
        <f>VLOOKUP(F85,DATA!B:D,3,FALSE)</f>
        <v>散弹枪</v>
      </c>
    </row>
    <row r="86" spans="1:9" x14ac:dyDescent="0.15">
      <c r="A86">
        <v>10503004</v>
      </c>
      <c r="B86">
        <f>VLOOKUP(A86,'Fox1'!A:F,2,FALSE)</f>
        <v>1</v>
      </c>
      <c r="C86" t="str">
        <f>VLOOKUP(A86,'Fox1'!A:E,5,FALSE)</f>
        <v>BY15</v>
      </c>
      <c r="D86" t="str">
        <f>VLOOKUP(A86,'Fox1'!A:F,6,FALSE)</f>
        <v>Pump action shotgun.Effective at close range.</v>
      </c>
      <c r="E86">
        <f t="shared" si="2"/>
        <v>1</v>
      </c>
      <c r="F86">
        <f t="shared" si="3"/>
        <v>105</v>
      </c>
      <c r="G86" t="str">
        <f>VLOOKUP(E86,DATA!A:C,3,FALSE)</f>
        <v>枪械</v>
      </c>
      <c r="H86" t="str">
        <f>VLOOKUP(MID(A86,LEN(A86)-2,1)*1,DATA!G:H,2,FALSE)</f>
        <v>PVP</v>
      </c>
      <c r="I86" t="str">
        <f>VLOOKUP(F86,DATA!B:D,3,FALSE)</f>
        <v>散弹枪</v>
      </c>
    </row>
    <row r="87" spans="1:9" x14ac:dyDescent="0.15">
      <c r="A87">
        <v>10504001</v>
      </c>
      <c r="B87">
        <f>VLOOKUP(A87,'Fox1'!A:F,2,FALSE)</f>
        <v>1</v>
      </c>
      <c r="C87" t="str">
        <f>VLOOKUP(A87,'Fox1'!A:E,5,FALSE)</f>
        <v>HS0405</v>
      </c>
      <c r="D87" t="str">
        <f>VLOOKUP(A87,'Fox1'!A:F,6,FALSE)</f>
        <v>Pump action shotgun.High fatality rate in close range with low fire rate and slow reload.</v>
      </c>
      <c r="E87">
        <f t="shared" si="2"/>
        <v>1</v>
      </c>
      <c r="F87">
        <f t="shared" si="3"/>
        <v>105</v>
      </c>
      <c r="G87" t="str">
        <f>VLOOKUP(E87,DATA!A:C,3,FALSE)</f>
        <v>枪械</v>
      </c>
      <c r="H87" t="str">
        <f>VLOOKUP(MID(A87,LEN(A87)-2,1)*1,DATA!G:H,2,FALSE)</f>
        <v>PVP</v>
      </c>
      <c r="I87" t="str">
        <f>VLOOKUP(F87,DATA!B:D,3,FALSE)</f>
        <v>散弹枪</v>
      </c>
    </row>
    <row r="88" spans="1:9" x14ac:dyDescent="0.15">
      <c r="A88">
        <v>10504002</v>
      </c>
      <c r="B88">
        <f>VLOOKUP(A88,'Fox1'!A:F,2,FALSE)</f>
        <v>2</v>
      </c>
      <c r="C88" t="str">
        <f>VLOOKUP(A88,'Fox1'!A:E,5,FALSE)</f>
        <v>HS0405</v>
      </c>
      <c r="D88" t="str">
        <f>VLOOKUP(A88,'Fox1'!A:F,6,FALSE)</f>
        <v>Pump action shotgun.High fatality rate in close range with low fire rate and slow reload.</v>
      </c>
      <c r="E88">
        <f t="shared" si="2"/>
        <v>1</v>
      </c>
      <c r="F88">
        <f t="shared" si="3"/>
        <v>105</v>
      </c>
      <c r="G88" t="str">
        <f>VLOOKUP(E88,DATA!A:C,3,FALSE)</f>
        <v>枪械</v>
      </c>
      <c r="H88" t="str">
        <f>VLOOKUP(MID(A88,LEN(A88)-2,1)*1,DATA!G:H,2,FALSE)</f>
        <v>PVP</v>
      </c>
      <c r="I88" t="str">
        <f>VLOOKUP(F88,DATA!B:D,3,FALSE)</f>
        <v>散弹枪</v>
      </c>
    </row>
    <row r="89" spans="1:9" x14ac:dyDescent="0.15">
      <c r="A89">
        <v>10504003</v>
      </c>
      <c r="B89">
        <f>VLOOKUP(A89,'Fox1'!A:F,2,FALSE)</f>
        <v>3</v>
      </c>
      <c r="C89" t="str">
        <f>VLOOKUP(A89,'Fox1'!A:E,5,FALSE)</f>
        <v>HS0405</v>
      </c>
      <c r="D89" t="str">
        <f>VLOOKUP(A89,'Fox1'!A:F,6,FALSE)</f>
        <v>Pump action shotgun.High fatality rate in close range with low fire rate and slow reload.</v>
      </c>
      <c r="E89">
        <f t="shared" si="2"/>
        <v>1</v>
      </c>
      <c r="F89">
        <f t="shared" si="3"/>
        <v>105</v>
      </c>
      <c r="G89" t="str">
        <f>VLOOKUP(E89,DATA!A:C,3,FALSE)</f>
        <v>枪械</v>
      </c>
      <c r="H89" t="str">
        <f>VLOOKUP(MID(A89,LEN(A89)-2,1)*1,DATA!G:H,2,FALSE)</f>
        <v>PVP</v>
      </c>
      <c r="I89" t="str">
        <f>VLOOKUP(F89,DATA!B:D,3,FALSE)</f>
        <v>散弹枪</v>
      </c>
    </row>
    <row r="90" spans="1:9" x14ac:dyDescent="0.15">
      <c r="A90">
        <v>10504004</v>
      </c>
      <c r="B90">
        <f>VLOOKUP(A90,'Fox1'!A:F,2,FALSE)</f>
        <v>4</v>
      </c>
      <c r="C90" t="str">
        <f>VLOOKUP(A90,'Fox1'!A:E,5,FALSE)</f>
        <v>HS0405</v>
      </c>
      <c r="D90" t="str">
        <f>VLOOKUP(A90,'Fox1'!A:F,6,FALSE)</f>
        <v>Pump action shotgun.High fatality rate in close range with low fire rate and slow reload.</v>
      </c>
      <c r="E90">
        <f t="shared" si="2"/>
        <v>1</v>
      </c>
      <c r="F90">
        <f t="shared" si="3"/>
        <v>105</v>
      </c>
      <c r="G90" t="str">
        <f>VLOOKUP(E90,DATA!A:C,3,FALSE)</f>
        <v>枪械</v>
      </c>
      <c r="H90" t="str">
        <f>VLOOKUP(MID(A90,LEN(A90)-2,1)*1,DATA!G:H,2,FALSE)</f>
        <v>PVP</v>
      </c>
      <c r="I90" t="str">
        <f>VLOOKUP(F90,DATA!B:D,3,FALSE)</f>
        <v>散弹枪</v>
      </c>
    </row>
    <row r="91" spans="1:9" x14ac:dyDescent="0.15">
      <c r="A91">
        <v>10601001</v>
      </c>
      <c r="B91">
        <f>VLOOKUP(A91,'Fox1'!A:F,2,FALSE)</f>
        <v>2</v>
      </c>
      <c r="C91" t="str">
        <f>VLOOKUP(A91,'Fox1'!A:E,5,FALSE)</f>
        <v>USP.45</v>
      </c>
      <c r="D91" t="str">
        <f>VLOOKUP(A91,'Fox1'!A:F,6,FALSE)</f>
        <v>Fully automatic with medium capacity and power.Effective at close range.</v>
      </c>
      <c r="E91">
        <f t="shared" si="2"/>
        <v>1</v>
      </c>
      <c r="F91">
        <f t="shared" si="3"/>
        <v>106</v>
      </c>
      <c r="G91" t="str">
        <f>VLOOKUP(E91,DATA!A:C,3,FALSE)</f>
        <v>枪械</v>
      </c>
      <c r="H91" t="str">
        <f>VLOOKUP(MID(A91,LEN(A91)-2,1)*1,DATA!G:H,2,FALSE)</f>
        <v>PVP</v>
      </c>
      <c r="I91" t="str">
        <f>VLOOKUP(F91,DATA!B:D,3,FALSE)</f>
        <v>手枪</v>
      </c>
    </row>
    <row r="92" spans="1:9" x14ac:dyDescent="0.15">
      <c r="A92">
        <v>10601002</v>
      </c>
      <c r="B92">
        <f>VLOOKUP(A92,'Fox1'!A:F,2,FALSE)</f>
        <v>3</v>
      </c>
      <c r="C92" t="str">
        <f>VLOOKUP(A92,'Fox1'!A:E,5,FALSE)</f>
        <v>USP.45</v>
      </c>
      <c r="D92" t="str">
        <f>VLOOKUP(A92,'Fox1'!A:F,6,FALSE)</f>
        <v>Fully automatic with medium capacity and power.Effective at close range.</v>
      </c>
      <c r="E92">
        <f t="shared" si="2"/>
        <v>1</v>
      </c>
      <c r="F92">
        <f t="shared" si="3"/>
        <v>106</v>
      </c>
      <c r="G92" t="str">
        <f>VLOOKUP(E92,DATA!A:C,3,FALSE)</f>
        <v>枪械</v>
      </c>
      <c r="H92" t="str">
        <f>VLOOKUP(MID(A92,LEN(A92)-2,1)*1,DATA!G:H,2,FALSE)</f>
        <v>PVP</v>
      </c>
      <c r="I92" t="str">
        <f>VLOOKUP(F92,DATA!B:D,3,FALSE)</f>
        <v>手枪</v>
      </c>
    </row>
    <row r="93" spans="1:9" x14ac:dyDescent="0.15">
      <c r="A93">
        <v>10601003</v>
      </c>
      <c r="B93">
        <f>VLOOKUP(A93,'Fox1'!A:F,2,FALSE)</f>
        <v>4</v>
      </c>
      <c r="C93" t="str">
        <f>VLOOKUP(A93,'Fox1'!A:E,5,FALSE)</f>
        <v>USP.45</v>
      </c>
      <c r="D93" t="str">
        <f>VLOOKUP(A93,'Fox1'!A:F,6,FALSE)</f>
        <v>Fully automatic with medium capacity and power.Effective at close range.</v>
      </c>
      <c r="E93">
        <f t="shared" si="2"/>
        <v>1</v>
      </c>
      <c r="F93">
        <f t="shared" si="3"/>
        <v>106</v>
      </c>
      <c r="G93" t="str">
        <f>VLOOKUP(E93,DATA!A:C,3,FALSE)</f>
        <v>枪械</v>
      </c>
      <c r="H93" t="str">
        <f>VLOOKUP(MID(A93,LEN(A93)-2,1)*1,DATA!G:H,2,FALSE)</f>
        <v>PVP</v>
      </c>
      <c r="I93" t="str">
        <f>VLOOKUP(F93,DATA!B:D,3,FALSE)</f>
        <v>手枪</v>
      </c>
    </row>
    <row r="94" spans="1:9" x14ac:dyDescent="0.15">
      <c r="A94">
        <v>10601004</v>
      </c>
      <c r="B94">
        <f>VLOOKUP(A94,'Fox1'!A:F,2,FALSE)</f>
        <v>1</v>
      </c>
      <c r="C94" t="str">
        <f>VLOOKUP(A94,'Fox1'!A:E,5,FALSE)</f>
        <v>USP.45</v>
      </c>
      <c r="D94" t="str">
        <f>VLOOKUP(A94,'Fox1'!A:F,6,FALSE)</f>
        <v>Fully automatic with medium capacity and power.Effective at close range.</v>
      </c>
      <c r="E94">
        <f t="shared" si="2"/>
        <v>1</v>
      </c>
      <c r="F94">
        <f t="shared" si="3"/>
        <v>106</v>
      </c>
      <c r="G94" t="str">
        <f>VLOOKUP(E94,DATA!A:C,3,FALSE)</f>
        <v>枪械</v>
      </c>
      <c r="H94" t="str">
        <f>VLOOKUP(MID(A94,LEN(A94)-2,1)*1,DATA!G:H,2,FALSE)</f>
        <v>PVP</v>
      </c>
      <c r="I94" t="str">
        <f>VLOOKUP(F94,DATA!B:D,3,FALSE)</f>
        <v>手枪</v>
      </c>
    </row>
    <row r="95" spans="1:9" x14ac:dyDescent="0.15">
      <c r="A95">
        <v>10601005</v>
      </c>
      <c r="B95">
        <f>VLOOKUP(A95,'Fox1'!A:F,2,FALSE)</f>
        <v>5</v>
      </c>
      <c r="C95" t="str">
        <f>VLOOKUP(A95,'Fox1'!A:E,5,FALSE)</f>
        <v>USP.45</v>
      </c>
      <c r="D95" t="str">
        <f>VLOOKUP(A95,'Fox1'!A:F,6,FALSE)</f>
        <v>Fully automatic with medium capacity and power.Effective at close range.</v>
      </c>
      <c r="E95">
        <f t="shared" si="2"/>
        <v>1</v>
      </c>
      <c r="F95">
        <f t="shared" si="3"/>
        <v>106</v>
      </c>
      <c r="G95" t="str">
        <f>VLOOKUP(E95,DATA!A:C,3,FALSE)</f>
        <v>枪械</v>
      </c>
      <c r="H95" t="str">
        <f>VLOOKUP(MID(A95,LEN(A95)-2,1)*1,DATA!G:H,2,FALSE)</f>
        <v>PVP</v>
      </c>
      <c r="I95" t="str">
        <f>VLOOKUP(F95,DATA!B:D,3,FALSE)</f>
        <v>手枪</v>
      </c>
    </row>
    <row r="96" spans="1:9" x14ac:dyDescent="0.15">
      <c r="A96">
        <v>10601101</v>
      </c>
      <c r="B96">
        <f>VLOOKUP(A96,'Fox1'!A:F,2,FALSE)</f>
        <v>5</v>
      </c>
      <c r="C96" t="str">
        <f>VLOOKUP(A96,'Fox1'!A:E,5,FALSE)</f>
        <v>RayGun</v>
      </c>
      <c r="D96" t="str">
        <f>VLOOKUP(A96,'Fox1'!A:F,6,FALSE)</f>
        <v>"Do you like my glowing green balls?"</v>
      </c>
      <c r="E96">
        <f t="shared" si="2"/>
        <v>1</v>
      </c>
      <c r="F96">
        <f t="shared" si="3"/>
        <v>106</v>
      </c>
      <c r="G96" t="str">
        <f>VLOOKUP(E96,DATA!A:C,3,FALSE)</f>
        <v>枪械</v>
      </c>
      <c r="H96" t="str">
        <f>VLOOKUP(MID(A96,LEN(A96)-2,1)*1,DATA!G:H,2,FALSE)</f>
        <v>PVE</v>
      </c>
      <c r="I96" t="str">
        <f>VLOOKUP(F96,DATA!B:D,3,FALSE)</f>
        <v>手枪</v>
      </c>
    </row>
    <row r="97" spans="1:9" x14ac:dyDescent="0.15">
      <c r="A97">
        <v>10801001</v>
      </c>
      <c r="B97">
        <f>VLOOKUP(A97,'Fox1'!A:F,2,FALSE)</f>
        <v>2</v>
      </c>
      <c r="C97" t="str">
        <f>VLOOKUP(A97,'Fox1'!A:E,5,FALSE)</f>
        <v>FHJ-18</v>
      </c>
      <c r="D97" t="str">
        <f>VLOOKUP(A97,'Fox1'!A:F,6,FALSE)</f>
        <v>Guided shoulder-mounted rocket launcher that can lock-on to enemy vehicles and turret.</v>
      </c>
      <c r="E97">
        <f t="shared" si="2"/>
        <v>1</v>
      </c>
      <c r="F97">
        <f t="shared" si="3"/>
        <v>108</v>
      </c>
      <c r="G97" t="str">
        <f>VLOOKUP(E97,DATA!A:C,3,FALSE)</f>
        <v>枪械</v>
      </c>
      <c r="H97" t="str">
        <f>VLOOKUP(MID(A97,LEN(A97)-2,1)*1,DATA!G:H,2,FALSE)</f>
        <v>PVP</v>
      </c>
      <c r="I97" t="str">
        <f>VLOOKUP(F97,DATA!B:D,3,FALSE)</f>
        <v>发射器</v>
      </c>
    </row>
    <row r="98" spans="1:9" x14ac:dyDescent="0.15">
      <c r="A98">
        <v>10801002</v>
      </c>
      <c r="B98">
        <f>VLOOKUP(A98,'Fox1'!A:F,2,FALSE)</f>
        <v>3</v>
      </c>
      <c r="C98" t="str">
        <f>VLOOKUP(A98,'Fox1'!A:E,5,FALSE)</f>
        <v>FHJ-18</v>
      </c>
      <c r="D98" t="str">
        <f>VLOOKUP(A98,'Fox1'!A:F,6,FALSE)</f>
        <v>Guided shoulder-mounted rocket launcher that can lock-on to enemy vehicles and turret.</v>
      </c>
      <c r="E98">
        <f t="shared" si="2"/>
        <v>1</v>
      </c>
      <c r="F98">
        <f t="shared" si="3"/>
        <v>108</v>
      </c>
      <c r="G98" t="str">
        <f>VLOOKUP(E98,DATA!A:C,3,FALSE)</f>
        <v>枪械</v>
      </c>
      <c r="H98" t="str">
        <f>VLOOKUP(MID(A98,LEN(A98)-2,1)*1,DATA!G:H,2,FALSE)</f>
        <v>PVP</v>
      </c>
      <c r="I98" t="str">
        <f>VLOOKUP(F98,DATA!B:D,3,FALSE)</f>
        <v>发射器</v>
      </c>
    </row>
    <row r="99" spans="1:9" x14ac:dyDescent="0.15">
      <c r="A99">
        <v>10801003</v>
      </c>
      <c r="B99">
        <f>VLOOKUP(A99,'Fox1'!A:F,2,FALSE)</f>
        <v>4</v>
      </c>
      <c r="C99" t="str">
        <f>VLOOKUP(A99,'Fox1'!A:E,5,FALSE)</f>
        <v>FHJ-18</v>
      </c>
      <c r="D99" t="str">
        <f>VLOOKUP(A99,'Fox1'!A:F,6,FALSE)</f>
        <v>Guided shoulder-mounted rocket launcher that can lock-on to enemy vehicles and turret.</v>
      </c>
      <c r="E99">
        <f t="shared" si="2"/>
        <v>1</v>
      </c>
      <c r="F99">
        <f t="shared" si="3"/>
        <v>108</v>
      </c>
      <c r="G99" t="str">
        <f>VLOOKUP(E99,DATA!A:C,3,FALSE)</f>
        <v>枪械</v>
      </c>
      <c r="H99" t="str">
        <f>VLOOKUP(MID(A99,LEN(A99)-2,1)*1,DATA!G:H,2,FALSE)</f>
        <v>PVP</v>
      </c>
      <c r="I99" t="str">
        <f>VLOOKUP(F99,DATA!B:D,3,FALSE)</f>
        <v>发射器</v>
      </c>
    </row>
    <row r="100" spans="1:9" x14ac:dyDescent="0.15">
      <c r="A100">
        <v>10801004</v>
      </c>
      <c r="B100">
        <f>VLOOKUP(A100,'Fox1'!A:F,2,FALSE)</f>
        <v>1</v>
      </c>
      <c r="C100" t="str">
        <f>VLOOKUP(A100,'Fox1'!A:E,5,FALSE)</f>
        <v>FHJ-18</v>
      </c>
      <c r="D100" t="str">
        <f>VLOOKUP(A100,'Fox1'!A:F,6,FALSE)</f>
        <v>Guided shoulder-mounted rocket launcher that can lock-on to enemy vehicles and turret.</v>
      </c>
      <c r="E100">
        <f t="shared" si="2"/>
        <v>1</v>
      </c>
      <c r="F100">
        <f t="shared" si="3"/>
        <v>108</v>
      </c>
      <c r="G100" t="str">
        <f>VLOOKUP(E100,DATA!A:C,3,FALSE)</f>
        <v>枪械</v>
      </c>
      <c r="H100" t="str">
        <f>VLOOKUP(MID(A100,LEN(A100)-2,1)*1,DATA!G:H,2,FALSE)</f>
        <v>PVP</v>
      </c>
      <c r="I100" t="str">
        <f>VLOOKUP(F100,DATA!B:D,3,FALSE)</f>
        <v>发射器</v>
      </c>
    </row>
    <row r="101" spans="1:9" x14ac:dyDescent="0.15">
      <c r="A101">
        <v>10802001</v>
      </c>
      <c r="B101">
        <f>VLOOKUP(A101,'Fox1'!A:F,2,FALSE)</f>
        <v>1</v>
      </c>
      <c r="C101" t="str">
        <f>VLOOKUP(A101,'Fox1'!A:E,5,FALSE)</f>
        <v>SMRS</v>
      </c>
      <c r="D101" t="str">
        <f>VLOOKUP(A101,'Fox1'!A:F,6,FALSE)</f>
        <v>Disposable rocket launcher for solo, high accuracy, fire without locking onto the target.</v>
      </c>
      <c r="E101">
        <f t="shared" si="2"/>
        <v>1</v>
      </c>
      <c r="F101">
        <f t="shared" si="3"/>
        <v>108</v>
      </c>
      <c r="G101" t="str">
        <f>VLOOKUP(E101,DATA!A:C,3,FALSE)</f>
        <v>枪械</v>
      </c>
      <c r="H101" t="str">
        <f>VLOOKUP(MID(A101,LEN(A101)-2,1)*1,DATA!G:H,2,FALSE)</f>
        <v>PVP</v>
      </c>
      <c r="I101" t="str">
        <f>VLOOKUP(F101,DATA!B:D,3,FALSE)</f>
        <v>发射器</v>
      </c>
    </row>
    <row r="102" spans="1:9" x14ac:dyDescent="0.15">
      <c r="A102">
        <v>10802002</v>
      </c>
      <c r="B102">
        <f>VLOOKUP(A102,'Fox1'!A:F,2,FALSE)</f>
        <v>2</v>
      </c>
      <c r="C102" t="str">
        <f>VLOOKUP(A102,'Fox1'!A:E,5,FALSE)</f>
        <v>SMRS</v>
      </c>
      <c r="D102" t="str">
        <f>VLOOKUP(A102,'Fox1'!A:F,6,FALSE)</f>
        <v>Disposable rocket launcher for solo, high accuracy, fire without locking onto the target.</v>
      </c>
      <c r="E102">
        <f t="shared" si="2"/>
        <v>1</v>
      </c>
      <c r="F102">
        <f t="shared" si="3"/>
        <v>108</v>
      </c>
      <c r="G102" t="str">
        <f>VLOOKUP(E102,DATA!A:C,3,FALSE)</f>
        <v>枪械</v>
      </c>
      <c r="H102" t="str">
        <f>VLOOKUP(MID(A102,LEN(A102)-2,1)*1,DATA!G:H,2,FALSE)</f>
        <v>PVP</v>
      </c>
      <c r="I102" t="str">
        <f>VLOOKUP(F102,DATA!B:D,3,FALSE)</f>
        <v>发射器</v>
      </c>
    </row>
    <row r="103" spans="1:9" x14ac:dyDescent="0.15">
      <c r="A103">
        <v>10802003</v>
      </c>
      <c r="B103">
        <f>VLOOKUP(A103,'Fox1'!A:F,2,FALSE)</f>
        <v>3</v>
      </c>
      <c r="C103" t="str">
        <f>VLOOKUP(A103,'Fox1'!A:E,5,FALSE)</f>
        <v>SMRS</v>
      </c>
      <c r="D103" t="str">
        <f>VLOOKUP(A103,'Fox1'!A:F,6,FALSE)</f>
        <v>Disposable rocket launcher for solo, high accuracy, fire without locking onto the target.</v>
      </c>
      <c r="E103">
        <f t="shared" si="2"/>
        <v>1</v>
      </c>
      <c r="F103">
        <f t="shared" si="3"/>
        <v>108</v>
      </c>
      <c r="G103" t="str">
        <f>VLOOKUP(E103,DATA!A:C,3,FALSE)</f>
        <v>枪械</v>
      </c>
      <c r="H103" t="str">
        <f>VLOOKUP(MID(A103,LEN(A103)-2,1)*1,DATA!G:H,2,FALSE)</f>
        <v>PVP</v>
      </c>
      <c r="I103" t="str">
        <f>VLOOKUP(F103,DATA!B:D,3,FALSE)</f>
        <v>发射器</v>
      </c>
    </row>
    <row r="104" spans="1:9" x14ac:dyDescent="0.15">
      <c r="A104">
        <v>10802004</v>
      </c>
      <c r="B104">
        <f>VLOOKUP(A104,'Fox1'!A:F,2,FALSE)</f>
        <v>4</v>
      </c>
      <c r="C104" t="str">
        <f>VLOOKUP(A104,'Fox1'!A:E,5,FALSE)</f>
        <v>SMRS</v>
      </c>
      <c r="D104" t="str">
        <f>VLOOKUP(A104,'Fox1'!A:F,6,FALSE)</f>
        <v>Disposable rocket launcher for solo, high accuracy, fire without locking onto the target.</v>
      </c>
      <c r="E104">
        <f t="shared" si="2"/>
        <v>1</v>
      </c>
      <c r="F104">
        <f t="shared" si="3"/>
        <v>108</v>
      </c>
      <c r="G104" t="str">
        <f>VLOOKUP(E104,DATA!A:C,3,FALSE)</f>
        <v>枪械</v>
      </c>
      <c r="H104" t="str">
        <f>VLOOKUP(MID(A104,LEN(A104)-2,1)*1,DATA!G:H,2,FALSE)</f>
        <v>PVP</v>
      </c>
      <c r="I104" t="str">
        <f>VLOOKUP(F104,DATA!B:D,3,FALSE)</f>
        <v>发射器</v>
      </c>
    </row>
    <row r="105" spans="1:9" x14ac:dyDescent="0.15">
      <c r="A105">
        <v>30100001</v>
      </c>
      <c r="B105">
        <f>VLOOKUP(A105,'Fox1'!A:F,2,FALSE)</f>
        <v>2</v>
      </c>
      <c r="C105" t="str">
        <f>VLOOKUP(A105,'Fox1'!A:E,5,FALSE)</f>
        <v>Foregrip-AR</v>
      </c>
      <c r="D105" t="str">
        <f>VLOOKUP(A105,'Fox1'!A:F,6,FALSE)</f>
        <v>Reduced recoil while aiming down the sight.</v>
      </c>
      <c r="E105">
        <f t="shared" si="2"/>
        <v>3</v>
      </c>
      <c r="F105">
        <f t="shared" si="3"/>
        <v>301</v>
      </c>
      <c r="G105" t="str">
        <f>VLOOKUP(E105,DATA!A:C,3,FALSE)</f>
        <v>挂件</v>
      </c>
      <c r="H105" t="str">
        <f>VLOOKUP(MID(A105,LEN(A105)-2,1)*1,DATA!G:H,2,FALSE)</f>
        <v>PVP</v>
      </c>
      <c r="I105" t="str">
        <f>VLOOKUP(F105,DATA!B:D,3,FALSE)</f>
        <v>挂件</v>
      </c>
    </row>
    <row r="106" spans="1:9" x14ac:dyDescent="0.15">
      <c r="A106">
        <v>30100002</v>
      </c>
      <c r="B106">
        <f>VLOOKUP(A106,'Fox1'!A:F,2,FALSE)</f>
        <v>1</v>
      </c>
      <c r="C106" t="str">
        <f>VLOOKUP(A106,'Fox1'!A:E,5,FALSE)</f>
        <v>Foregrip-AR</v>
      </c>
      <c r="D106" t="str">
        <f>VLOOKUP(A106,'Fox1'!A:F,6,FALSE)</f>
        <v>Reduced recoil while aiming down the sight.</v>
      </c>
      <c r="E106">
        <f t="shared" si="2"/>
        <v>3</v>
      </c>
      <c r="F106">
        <f t="shared" si="3"/>
        <v>301</v>
      </c>
      <c r="G106" t="str">
        <f>VLOOKUP(E106,DATA!A:C,3,FALSE)</f>
        <v>挂件</v>
      </c>
      <c r="H106" t="str">
        <f>VLOOKUP(MID(A106,LEN(A106)-2,1)*1,DATA!G:H,2,FALSE)</f>
        <v>PVP</v>
      </c>
      <c r="I106" t="str">
        <f>VLOOKUP(F106,DATA!B:D,3,FALSE)</f>
        <v>挂件</v>
      </c>
    </row>
    <row r="107" spans="1:9" x14ac:dyDescent="0.15">
      <c r="A107">
        <v>30100003</v>
      </c>
      <c r="B107">
        <f>VLOOKUP(A107,'Fox1'!A:F,2,FALSE)</f>
        <v>4</v>
      </c>
      <c r="C107" t="str">
        <f>VLOOKUP(A107,'Fox1'!A:E,5,FALSE)</f>
        <v>Foregrip-AR</v>
      </c>
      <c r="D107" t="str">
        <f>VLOOKUP(A107,'Fox1'!A:F,6,FALSE)</f>
        <v>Reduced recoil while aiming down the sight.</v>
      </c>
      <c r="E107">
        <f t="shared" si="2"/>
        <v>3</v>
      </c>
      <c r="F107">
        <f t="shared" si="3"/>
        <v>301</v>
      </c>
      <c r="G107" t="str">
        <f>VLOOKUP(E107,DATA!A:C,3,FALSE)</f>
        <v>挂件</v>
      </c>
      <c r="H107" t="str">
        <f>VLOOKUP(MID(A107,LEN(A107)-2,1)*1,DATA!G:H,2,FALSE)</f>
        <v>PVP</v>
      </c>
      <c r="I107" t="str">
        <f>VLOOKUP(F107,DATA!B:D,3,FALSE)</f>
        <v>挂件</v>
      </c>
    </row>
    <row r="108" spans="1:9" x14ac:dyDescent="0.15">
      <c r="A108">
        <v>30100004</v>
      </c>
      <c r="B108">
        <f>VLOOKUP(A108,'Fox1'!A:F,2,FALSE)</f>
        <v>5</v>
      </c>
      <c r="C108" t="str">
        <f>VLOOKUP(A108,'Fox1'!A:E,5,FALSE)</f>
        <v>Foregrip-AR</v>
      </c>
      <c r="D108" t="str">
        <f>VLOOKUP(A108,'Fox1'!A:F,6,FALSE)</f>
        <v>Reduced recoil while aiming down the sight.</v>
      </c>
      <c r="E108">
        <f t="shared" si="2"/>
        <v>3</v>
      </c>
      <c r="F108">
        <f t="shared" si="3"/>
        <v>301</v>
      </c>
      <c r="G108" t="str">
        <f>VLOOKUP(E108,DATA!A:C,3,FALSE)</f>
        <v>挂件</v>
      </c>
      <c r="H108" t="str">
        <f>VLOOKUP(MID(A108,LEN(A108)-2,1)*1,DATA!G:H,2,FALSE)</f>
        <v>PVP</v>
      </c>
      <c r="I108" t="str">
        <f>VLOOKUP(F108,DATA!B:D,3,FALSE)</f>
        <v>挂件</v>
      </c>
    </row>
    <row r="109" spans="1:9" x14ac:dyDescent="0.15">
      <c r="A109">
        <v>30100005</v>
      </c>
      <c r="B109">
        <f>VLOOKUP(A109,'Fox1'!A:F,2,FALSE)</f>
        <v>2</v>
      </c>
      <c r="C109" t="str">
        <f>VLOOKUP(A109,'Fox1'!A:E,5,FALSE)</f>
        <v>Foregrip-SMG</v>
      </c>
      <c r="D109" t="str">
        <f>VLOOKUP(A109,'Fox1'!A:F,6,FALSE)</f>
        <v>Reduced recoil while aiming down the sight.</v>
      </c>
      <c r="E109">
        <f t="shared" si="2"/>
        <v>3</v>
      </c>
      <c r="F109">
        <f t="shared" si="3"/>
        <v>301</v>
      </c>
      <c r="G109" t="str">
        <f>VLOOKUP(E109,DATA!A:C,3,FALSE)</f>
        <v>挂件</v>
      </c>
      <c r="H109" t="str">
        <f>VLOOKUP(MID(A109,LEN(A109)-2,1)*1,DATA!G:H,2,FALSE)</f>
        <v>PVP</v>
      </c>
      <c r="I109" t="str">
        <f>VLOOKUP(F109,DATA!B:D,3,FALSE)</f>
        <v>挂件</v>
      </c>
    </row>
    <row r="110" spans="1:9" x14ac:dyDescent="0.15">
      <c r="A110">
        <v>30100006</v>
      </c>
      <c r="B110">
        <f>VLOOKUP(A110,'Fox1'!A:F,2,FALSE)</f>
        <v>1</v>
      </c>
      <c r="C110" t="str">
        <f>VLOOKUP(A110,'Fox1'!A:E,5,FALSE)</f>
        <v>Foregrip-SMG</v>
      </c>
      <c r="D110" t="str">
        <f>VLOOKUP(A110,'Fox1'!A:F,6,FALSE)</f>
        <v>Reduced recoil while aiming down the sight.</v>
      </c>
      <c r="E110">
        <f t="shared" si="2"/>
        <v>3</v>
      </c>
      <c r="F110">
        <f t="shared" si="3"/>
        <v>301</v>
      </c>
      <c r="G110" t="str">
        <f>VLOOKUP(E110,DATA!A:C,3,FALSE)</f>
        <v>挂件</v>
      </c>
      <c r="H110" t="str">
        <f>VLOOKUP(MID(A110,LEN(A110)-2,1)*1,DATA!G:H,2,FALSE)</f>
        <v>PVP</v>
      </c>
      <c r="I110" t="str">
        <f>VLOOKUP(F110,DATA!B:D,3,FALSE)</f>
        <v>挂件</v>
      </c>
    </row>
    <row r="111" spans="1:9" x14ac:dyDescent="0.15">
      <c r="A111">
        <v>30100007</v>
      </c>
      <c r="B111">
        <f>VLOOKUP(A111,'Fox1'!A:F,2,FALSE)</f>
        <v>4</v>
      </c>
      <c r="C111" t="str">
        <f>VLOOKUP(A111,'Fox1'!A:E,5,FALSE)</f>
        <v>Foregrip-SMG</v>
      </c>
      <c r="D111" t="str">
        <f>VLOOKUP(A111,'Fox1'!A:F,6,FALSE)</f>
        <v>Reduced recoil while aiming down the sight.</v>
      </c>
      <c r="E111">
        <f t="shared" si="2"/>
        <v>3</v>
      </c>
      <c r="F111">
        <f t="shared" si="3"/>
        <v>301</v>
      </c>
      <c r="G111" t="str">
        <f>VLOOKUP(E111,DATA!A:C,3,FALSE)</f>
        <v>挂件</v>
      </c>
      <c r="H111" t="str">
        <f>VLOOKUP(MID(A111,LEN(A111)-2,1)*1,DATA!G:H,2,FALSE)</f>
        <v>PVP</v>
      </c>
      <c r="I111" t="str">
        <f>VLOOKUP(F111,DATA!B:D,3,FALSE)</f>
        <v>挂件</v>
      </c>
    </row>
    <row r="112" spans="1:9" x14ac:dyDescent="0.15">
      <c r="A112">
        <v>30100008</v>
      </c>
      <c r="B112">
        <f>VLOOKUP(A112,'Fox1'!A:F,2,FALSE)</f>
        <v>5</v>
      </c>
      <c r="C112" t="str">
        <f>VLOOKUP(A112,'Fox1'!A:E,5,FALSE)</f>
        <v>Foregrip-SMG</v>
      </c>
      <c r="D112" t="str">
        <f>VLOOKUP(A112,'Fox1'!A:F,6,FALSE)</f>
        <v>Reduced recoil while aiming down the sight.</v>
      </c>
      <c r="E112">
        <f t="shared" si="2"/>
        <v>3</v>
      </c>
      <c r="F112">
        <f t="shared" si="3"/>
        <v>301</v>
      </c>
      <c r="G112" t="str">
        <f>VLOOKUP(E112,DATA!A:C,3,FALSE)</f>
        <v>挂件</v>
      </c>
      <c r="H112" t="str">
        <f>VLOOKUP(MID(A112,LEN(A112)-2,1)*1,DATA!G:H,2,FALSE)</f>
        <v>PVP</v>
      </c>
      <c r="I112" t="str">
        <f>VLOOKUP(F112,DATA!B:D,3,FALSE)</f>
        <v>挂件</v>
      </c>
    </row>
    <row r="113" spans="1:9" x14ac:dyDescent="0.15">
      <c r="A113">
        <v>30100009</v>
      </c>
      <c r="B113">
        <f>VLOOKUP(A113,'Fox1'!A:F,2,FALSE)</f>
        <v>2</v>
      </c>
      <c r="C113" t="str">
        <f>VLOOKUP(A113,'Fox1'!A:E,5,FALSE)</f>
        <v>Foregrip-LMG</v>
      </c>
      <c r="D113" t="str">
        <f>VLOOKUP(A113,'Fox1'!A:F,6,FALSE)</f>
        <v>Reduced recoil while aiming down the sight.</v>
      </c>
      <c r="E113">
        <f t="shared" si="2"/>
        <v>3</v>
      </c>
      <c r="F113">
        <f t="shared" si="3"/>
        <v>301</v>
      </c>
      <c r="G113" t="str">
        <f>VLOOKUP(E113,DATA!A:C,3,FALSE)</f>
        <v>挂件</v>
      </c>
      <c r="H113" t="str">
        <f>VLOOKUP(MID(A113,LEN(A113)-2,1)*1,DATA!G:H,2,FALSE)</f>
        <v>PVP</v>
      </c>
      <c r="I113" t="str">
        <f>VLOOKUP(F113,DATA!B:D,3,FALSE)</f>
        <v>挂件</v>
      </c>
    </row>
    <row r="114" spans="1:9" x14ac:dyDescent="0.15">
      <c r="A114">
        <v>30100010</v>
      </c>
      <c r="B114">
        <f>VLOOKUP(A114,'Fox1'!A:F,2,FALSE)</f>
        <v>1</v>
      </c>
      <c r="C114" t="str">
        <f>VLOOKUP(A114,'Fox1'!A:E,5,FALSE)</f>
        <v>Foregrip-LMG</v>
      </c>
      <c r="D114" t="str">
        <f>VLOOKUP(A114,'Fox1'!A:F,6,FALSE)</f>
        <v>Reduced recoil while aiming down the sight.</v>
      </c>
      <c r="E114">
        <f t="shared" si="2"/>
        <v>3</v>
      </c>
      <c r="F114">
        <f t="shared" si="3"/>
        <v>301</v>
      </c>
      <c r="G114" t="str">
        <f>VLOOKUP(E114,DATA!A:C,3,FALSE)</f>
        <v>挂件</v>
      </c>
      <c r="H114" t="str">
        <f>VLOOKUP(MID(A114,LEN(A114)-2,1)*1,DATA!G:H,2,FALSE)</f>
        <v>PVP</v>
      </c>
      <c r="I114" t="str">
        <f>VLOOKUP(F114,DATA!B:D,3,FALSE)</f>
        <v>挂件</v>
      </c>
    </row>
    <row r="115" spans="1:9" x14ac:dyDescent="0.15">
      <c r="A115">
        <v>30100011</v>
      </c>
      <c r="B115">
        <f>VLOOKUP(A115,'Fox1'!A:F,2,FALSE)</f>
        <v>4</v>
      </c>
      <c r="C115" t="str">
        <f>VLOOKUP(A115,'Fox1'!A:E,5,FALSE)</f>
        <v>Foregrip-LMG</v>
      </c>
      <c r="D115" t="str">
        <f>VLOOKUP(A115,'Fox1'!A:F,6,FALSE)</f>
        <v>Reduced recoil while aiming down the sight.</v>
      </c>
      <c r="E115">
        <f t="shared" si="2"/>
        <v>3</v>
      </c>
      <c r="F115">
        <f t="shared" si="3"/>
        <v>301</v>
      </c>
      <c r="G115" t="str">
        <f>VLOOKUP(E115,DATA!A:C,3,FALSE)</f>
        <v>挂件</v>
      </c>
      <c r="H115" t="str">
        <f>VLOOKUP(MID(A115,LEN(A115)-2,1)*1,DATA!G:H,2,FALSE)</f>
        <v>PVP</v>
      </c>
      <c r="I115" t="str">
        <f>VLOOKUP(F115,DATA!B:D,3,FALSE)</f>
        <v>挂件</v>
      </c>
    </row>
    <row r="116" spans="1:9" x14ac:dyDescent="0.15">
      <c r="A116">
        <v>30100012</v>
      </c>
      <c r="B116">
        <f>VLOOKUP(A116,'Fox1'!A:F,2,FALSE)</f>
        <v>5</v>
      </c>
      <c r="C116" t="str">
        <f>VLOOKUP(A116,'Fox1'!A:E,5,FALSE)</f>
        <v>Foregrip-LMG</v>
      </c>
      <c r="D116" t="str">
        <f>VLOOKUP(A116,'Fox1'!A:F,6,FALSE)</f>
        <v>Reduced recoil while aiming down the sight.</v>
      </c>
      <c r="E116">
        <f t="shared" si="2"/>
        <v>3</v>
      </c>
      <c r="F116">
        <f t="shared" si="3"/>
        <v>301</v>
      </c>
      <c r="G116" t="str">
        <f>VLOOKUP(E116,DATA!A:C,3,FALSE)</f>
        <v>挂件</v>
      </c>
      <c r="H116" t="str">
        <f>VLOOKUP(MID(A116,LEN(A116)-2,1)*1,DATA!G:H,2,FALSE)</f>
        <v>PVP</v>
      </c>
      <c r="I116" t="str">
        <f>VLOOKUP(F116,DATA!B:D,3,FALSE)</f>
        <v>挂件</v>
      </c>
    </row>
    <row r="117" spans="1:9" x14ac:dyDescent="0.15">
      <c r="A117">
        <v>30200001</v>
      </c>
      <c r="B117">
        <f>VLOOKUP(A117,'Fox1'!A:F,2,FALSE)</f>
        <v>2</v>
      </c>
      <c r="C117" t="str">
        <f>VLOOKUP(A117,'Fox1'!A:E,5,FALSE)</f>
        <v>Silencer-AR</v>
      </c>
      <c r="D117" t="str">
        <f>VLOOKUP(A117,'Fox1'!A:F,6,FALSE)</f>
        <v>Prevents gunfire from showing up on enemy minimaps and makes it harder to hear and locate the position of the shooter.</v>
      </c>
      <c r="E117">
        <f t="shared" si="2"/>
        <v>3</v>
      </c>
      <c r="F117">
        <f t="shared" si="3"/>
        <v>302</v>
      </c>
      <c r="G117" t="str">
        <f>VLOOKUP(E117,DATA!A:C,3,FALSE)</f>
        <v>挂件</v>
      </c>
      <c r="H117" t="str">
        <f>VLOOKUP(MID(A117,LEN(A117)-2,1)*1,DATA!G:H,2,FALSE)</f>
        <v>PVP</v>
      </c>
      <c r="I117" t="str">
        <f>VLOOKUP(F117,DATA!B:D,3,FALSE)</f>
        <v>挂件</v>
      </c>
    </row>
    <row r="118" spans="1:9" x14ac:dyDescent="0.15">
      <c r="A118">
        <v>30200002</v>
      </c>
      <c r="B118">
        <f>VLOOKUP(A118,'Fox1'!A:F,2,FALSE)</f>
        <v>1</v>
      </c>
      <c r="C118" t="str">
        <f>VLOOKUP(A118,'Fox1'!A:E,5,FALSE)</f>
        <v>Silencer-AR</v>
      </c>
      <c r="D118" t="str">
        <f>VLOOKUP(A118,'Fox1'!A:F,6,FALSE)</f>
        <v>Prevents gunfire from showing up on enemy minimaps and makes it harder to hear and locate the position of the shooter.</v>
      </c>
      <c r="E118">
        <f t="shared" si="2"/>
        <v>3</v>
      </c>
      <c r="F118">
        <f t="shared" si="3"/>
        <v>302</v>
      </c>
      <c r="G118" t="str">
        <f>VLOOKUP(E118,DATA!A:C,3,FALSE)</f>
        <v>挂件</v>
      </c>
      <c r="H118" t="str">
        <f>VLOOKUP(MID(A118,LEN(A118)-2,1)*1,DATA!G:H,2,FALSE)</f>
        <v>PVP</v>
      </c>
      <c r="I118" t="str">
        <f>VLOOKUP(F118,DATA!B:D,3,FALSE)</f>
        <v>挂件</v>
      </c>
    </row>
    <row r="119" spans="1:9" x14ac:dyDescent="0.15">
      <c r="A119">
        <v>30200003</v>
      </c>
      <c r="B119">
        <f>VLOOKUP(A119,'Fox1'!A:F,2,FALSE)</f>
        <v>4</v>
      </c>
      <c r="C119" t="str">
        <f>VLOOKUP(A119,'Fox1'!A:E,5,FALSE)</f>
        <v>Silencer-AR</v>
      </c>
      <c r="D119" t="str">
        <f>VLOOKUP(A119,'Fox1'!A:F,6,FALSE)</f>
        <v>Prevents gunfire from showing up on enemy minimaps and makes it harder to hear and locate the position of the shooter.</v>
      </c>
      <c r="E119">
        <f t="shared" si="2"/>
        <v>3</v>
      </c>
      <c r="F119">
        <f t="shared" si="3"/>
        <v>302</v>
      </c>
      <c r="G119" t="str">
        <f>VLOOKUP(E119,DATA!A:C,3,FALSE)</f>
        <v>挂件</v>
      </c>
      <c r="H119" t="str">
        <f>VLOOKUP(MID(A119,LEN(A119)-2,1)*1,DATA!G:H,2,FALSE)</f>
        <v>PVP</v>
      </c>
      <c r="I119" t="str">
        <f>VLOOKUP(F119,DATA!B:D,3,FALSE)</f>
        <v>挂件</v>
      </c>
    </row>
    <row r="120" spans="1:9" x14ac:dyDescent="0.15">
      <c r="A120">
        <v>30200004</v>
      </c>
      <c r="B120">
        <f>VLOOKUP(A120,'Fox1'!A:F,2,FALSE)</f>
        <v>5</v>
      </c>
      <c r="C120" t="str">
        <f>VLOOKUP(A120,'Fox1'!A:E,5,FALSE)</f>
        <v>Silencer-AR</v>
      </c>
      <c r="D120" t="str">
        <f>VLOOKUP(A120,'Fox1'!A:F,6,FALSE)</f>
        <v>Prevents gunfire from showing up on enemy minimaps and makes it harder to hear and locate the position of the shooter.</v>
      </c>
      <c r="E120">
        <f t="shared" si="2"/>
        <v>3</v>
      </c>
      <c r="F120">
        <f t="shared" si="3"/>
        <v>302</v>
      </c>
      <c r="G120" t="str">
        <f>VLOOKUP(E120,DATA!A:C,3,FALSE)</f>
        <v>挂件</v>
      </c>
      <c r="H120" t="str">
        <f>VLOOKUP(MID(A120,LEN(A120)-2,1)*1,DATA!G:H,2,FALSE)</f>
        <v>PVP</v>
      </c>
      <c r="I120" t="str">
        <f>VLOOKUP(F120,DATA!B:D,3,FALSE)</f>
        <v>挂件</v>
      </c>
    </row>
    <row r="121" spans="1:9" x14ac:dyDescent="0.15">
      <c r="A121">
        <v>30200005</v>
      </c>
      <c r="B121">
        <f>VLOOKUP(A121,'Fox1'!A:F,2,FALSE)</f>
        <v>2</v>
      </c>
      <c r="C121" t="str">
        <f>VLOOKUP(A121,'Fox1'!A:E,5,FALSE)</f>
        <v>Silencer-SMG</v>
      </c>
      <c r="D121" t="str">
        <f>VLOOKUP(A121,'Fox1'!A:F,6,FALSE)</f>
        <v>Prevents gunfire from showing up on enemy minimaps and makes it harder to hear and locate the position of the shooter.</v>
      </c>
      <c r="E121">
        <f t="shared" si="2"/>
        <v>3</v>
      </c>
      <c r="F121">
        <f t="shared" si="3"/>
        <v>302</v>
      </c>
      <c r="G121" t="str">
        <f>VLOOKUP(E121,DATA!A:C,3,FALSE)</f>
        <v>挂件</v>
      </c>
      <c r="H121" t="str">
        <f>VLOOKUP(MID(A121,LEN(A121)-2,1)*1,DATA!G:H,2,FALSE)</f>
        <v>PVP</v>
      </c>
      <c r="I121" t="str">
        <f>VLOOKUP(F121,DATA!B:D,3,FALSE)</f>
        <v>挂件</v>
      </c>
    </row>
    <row r="122" spans="1:9" x14ac:dyDescent="0.15">
      <c r="A122">
        <v>30200006</v>
      </c>
      <c r="B122">
        <f>VLOOKUP(A122,'Fox1'!A:F,2,FALSE)</f>
        <v>1</v>
      </c>
      <c r="C122" t="str">
        <f>VLOOKUP(A122,'Fox1'!A:E,5,FALSE)</f>
        <v>Silencer-SMG</v>
      </c>
      <c r="D122" t="str">
        <f>VLOOKUP(A122,'Fox1'!A:F,6,FALSE)</f>
        <v>Prevents gunfire from showing up on enemy minimaps and makes it harder to hear and locate the position of the shooter.</v>
      </c>
      <c r="E122">
        <f t="shared" si="2"/>
        <v>3</v>
      </c>
      <c r="F122">
        <f t="shared" si="3"/>
        <v>302</v>
      </c>
      <c r="G122" t="str">
        <f>VLOOKUP(E122,DATA!A:C,3,FALSE)</f>
        <v>挂件</v>
      </c>
      <c r="H122" t="str">
        <f>VLOOKUP(MID(A122,LEN(A122)-2,1)*1,DATA!G:H,2,FALSE)</f>
        <v>PVP</v>
      </c>
      <c r="I122" t="str">
        <f>VLOOKUP(F122,DATA!B:D,3,FALSE)</f>
        <v>挂件</v>
      </c>
    </row>
    <row r="123" spans="1:9" x14ac:dyDescent="0.15">
      <c r="A123">
        <v>30200007</v>
      </c>
      <c r="B123">
        <f>VLOOKUP(A123,'Fox1'!A:F,2,FALSE)</f>
        <v>4</v>
      </c>
      <c r="C123" t="str">
        <f>VLOOKUP(A123,'Fox1'!A:E,5,FALSE)</f>
        <v>Silencer-SMG</v>
      </c>
      <c r="D123" t="str">
        <f>VLOOKUP(A123,'Fox1'!A:F,6,FALSE)</f>
        <v>Prevents gunfire from showing up on enemy minimaps and makes it harder to hear and locate the position of the shooter.</v>
      </c>
      <c r="E123">
        <f t="shared" si="2"/>
        <v>3</v>
      </c>
      <c r="F123">
        <f t="shared" si="3"/>
        <v>302</v>
      </c>
      <c r="G123" t="str">
        <f>VLOOKUP(E123,DATA!A:C,3,FALSE)</f>
        <v>挂件</v>
      </c>
      <c r="H123" t="str">
        <f>VLOOKUP(MID(A123,LEN(A123)-2,1)*1,DATA!G:H,2,FALSE)</f>
        <v>PVP</v>
      </c>
      <c r="I123" t="str">
        <f>VLOOKUP(F123,DATA!B:D,3,FALSE)</f>
        <v>挂件</v>
      </c>
    </row>
    <row r="124" spans="1:9" x14ac:dyDescent="0.15">
      <c r="A124">
        <v>30200008</v>
      </c>
      <c r="B124">
        <f>VLOOKUP(A124,'Fox1'!A:F,2,FALSE)</f>
        <v>5</v>
      </c>
      <c r="C124" t="str">
        <f>VLOOKUP(A124,'Fox1'!A:E,5,FALSE)</f>
        <v>Silencer-SMG</v>
      </c>
      <c r="D124" t="str">
        <f>VLOOKUP(A124,'Fox1'!A:F,6,FALSE)</f>
        <v>Prevents gunfire from showing up on enemy minimaps and makes it harder to hear and locate the position of the shooter.</v>
      </c>
      <c r="E124">
        <f t="shared" si="2"/>
        <v>3</v>
      </c>
      <c r="F124">
        <f t="shared" si="3"/>
        <v>302</v>
      </c>
      <c r="G124" t="str">
        <f>VLOOKUP(E124,DATA!A:C,3,FALSE)</f>
        <v>挂件</v>
      </c>
      <c r="H124" t="str">
        <f>VLOOKUP(MID(A124,LEN(A124)-2,1)*1,DATA!G:H,2,FALSE)</f>
        <v>PVP</v>
      </c>
      <c r="I124" t="str">
        <f>VLOOKUP(F124,DATA!B:D,3,FALSE)</f>
        <v>挂件</v>
      </c>
    </row>
    <row r="125" spans="1:9" x14ac:dyDescent="0.15">
      <c r="A125">
        <v>30200009</v>
      </c>
      <c r="B125">
        <f>VLOOKUP(A125,'Fox1'!A:F,2,FALSE)</f>
        <v>2</v>
      </c>
      <c r="C125" t="str">
        <f>VLOOKUP(A125,'Fox1'!A:E,5,FALSE)</f>
        <v>Silencer-LMG</v>
      </c>
      <c r="D125" t="str">
        <f>VLOOKUP(A125,'Fox1'!A:F,6,FALSE)</f>
        <v>Prevents gunfire from showing up on enemy minimaps and makes it harder to hear and locate the position of the shooter.</v>
      </c>
      <c r="E125">
        <f t="shared" si="2"/>
        <v>3</v>
      </c>
      <c r="F125">
        <f t="shared" si="3"/>
        <v>302</v>
      </c>
      <c r="G125" t="str">
        <f>VLOOKUP(E125,DATA!A:C,3,FALSE)</f>
        <v>挂件</v>
      </c>
      <c r="H125" t="str">
        <f>VLOOKUP(MID(A125,LEN(A125)-2,1)*1,DATA!G:H,2,FALSE)</f>
        <v>PVP</v>
      </c>
      <c r="I125" t="str">
        <f>VLOOKUP(F125,DATA!B:D,3,FALSE)</f>
        <v>挂件</v>
      </c>
    </row>
    <row r="126" spans="1:9" x14ac:dyDescent="0.15">
      <c r="A126">
        <v>30200010</v>
      </c>
      <c r="B126">
        <f>VLOOKUP(A126,'Fox1'!A:F,2,FALSE)</f>
        <v>1</v>
      </c>
      <c r="C126" t="str">
        <f>VLOOKUP(A126,'Fox1'!A:E,5,FALSE)</f>
        <v>Silencer-LMG</v>
      </c>
      <c r="D126" t="str">
        <f>VLOOKUP(A126,'Fox1'!A:F,6,FALSE)</f>
        <v>Prevents gunfire from showing up on enemy minimaps and makes it harder to hear and locate the position of the shooter.</v>
      </c>
      <c r="E126">
        <f t="shared" si="2"/>
        <v>3</v>
      </c>
      <c r="F126">
        <f t="shared" si="3"/>
        <v>302</v>
      </c>
      <c r="G126" t="str">
        <f>VLOOKUP(E126,DATA!A:C,3,FALSE)</f>
        <v>挂件</v>
      </c>
      <c r="H126" t="str">
        <f>VLOOKUP(MID(A126,LEN(A126)-2,1)*1,DATA!G:H,2,FALSE)</f>
        <v>PVP</v>
      </c>
      <c r="I126" t="str">
        <f>VLOOKUP(F126,DATA!B:D,3,FALSE)</f>
        <v>挂件</v>
      </c>
    </row>
    <row r="127" spans="1:9" x14ac:dyDescent="0.15">
      <c r="A127">
        <v>30200011</v>
      </c>
      <c r="B127">
        <f>VLOOKUP(A127,'Fox1'!A:F,2,FALSE)</f>
        <v>4</v>
      </c>
      <c r="C127" t="str">
        <f>VLOOKUP(A127,'Fox1'!A:E,5,FALSE)</f>
        <v>Silencer-LMG</v>
      </c>
      <c r="D127" t="str">
        <f>VLOOKUP(A127,'Fox1'!A:F,6,FALSE)</f>
        <v>Prevents gunfire from showing up on enemy minimaps and makes it harder to hear and locate the position of the shooter.</v>
      </c>
      <c r="E127">
        <f t="shared" si="2"/>
        <v>3</v>
      </c>
      <c r="F127">
        <f t="shared" si="3"/>
        <v>302</v>
      </c>
      <c r="G127" t="str">
        <f>VLOOKUP(E127,DATA!A:C,3,FALSE)</f>
        <v>挂件</v>
      </c>
      <c r="H127" t="str">
        <f>VLOOKUP(MID(A127,LEN(A127)-2,1)*1,DATA!G:H,2,FALSE)</f>
        <v>PVP</v>
      </c>
      <c r="I127" t="str">
        <f>VLOOKUP(F127,DATA!B:D,3,FALSE)</f>
        <v>挂件</v>
      </c>
    </row>
    <row r="128" spans="1:9" x14ac:dyDescent="0.15">
      <c r="A128">
        <v>30200012</v>
      </c>
      <c r="B128">
        <f>VLOOKUP(A128,'Fox1'!A:F,2,FALSE)</f>
        <v>5</v>
      </c>
      <c r="C128" t="str">
        <f>VLOOKUP(A128,'Fox1'!A:E,5,FALSE)</f>
        <v>Silencer-LMG</v>
      </c>
      <c r="D128" t="str">
        <f>VLOOKUP(A128,'Fox1'!A:F,6,FALSE)</f>
        <v>Prevents gunfire from showing up on enemy minimaps and makes it harder to hear and locate the position of the shooter.</v>
      </c>
      <c r="E128">
        <f t="shared" si="2"/>
        <v>3</v>
      </c>
      <c r="F128">
        <f t="shared" si="3"/>
        <v>302</v>
      </c>
      <c r="G128" t="str">
        <f>VLOOKUP(E128,DATA!A:C,3,FALSE)</f>
        <v>挂件</v>
      </c>
      <c r="H128" t="str">
        <f>VLOOKUP(MID(A128,LEN(A128)-2,1)*1,DATA!G:H,2,FALSE)</f>
        <v>PVP</v>
      </c>
      <c r="I128" t="str">
        <f>VLOOKUP(F128,DATA!B:D,3,FALSE)</f>
        <v>挂件</v>
      </c>
    </row>
    <row r="129" spans="1:9" x14ac:dyDescent="0.15">
      <c r="A129">
        <v>30200013</v>
      </c>
      <c r="B129">
        <f>VLOOKUP(A129,'Fox1'!A:F,2,FALSE)</f>
        <v>2</v>
      </c>
      <c r="C129" t="str">
        <f>VLOOKUP(A129,'Fox1'!A:E,5,FALSE)</f>
        <v>Silencer-SR</v>
      </c>
      <c r="D129" t="str">
        <f>VLOOKUP(A129,'Fox1'!A:F,6,FALSE)</f>
        <v>Prevents gunfire from showing up on enemy minimaps and makes it harder to hear and locate the position of the shooter.</v>
      </c>
      <c r="E129">
        <f t="shared" si="2"/>
        <v>3</v>
      </c>
      <c r="F129">
        <f t="shared" si="3"/>
        <v>302</v>
      </c>
      <c r="G129" t="str">
        <f>VLOOKUP(E129,DATA!A:C,3,FALSE)</f>
        <v>挂件</v>
      </c>
      <c r="H129" t="str">
        <f>VLOOKUP(MID(A129,LEN(A129)-2,1)*1,DATA!G:H,2,FALSE)</f>
        <v>PVP</v>
      </c>
      <c r="I129" t="str">
        <f>VLOOKUP(F129,DATA!B:D,3,FALSE)</f>
        <v>挂件</v>
      </c>
    </row>
    <row r="130" spans="1:9" x14ac:dyDescent="0.15">
      <c r="A130">
        <v>30200014</v>
      </c>
      <c r="B130">
        <f>VLOOKUP(A130,'Fox1'!A:F,2,FALSE)</f>
        <v>1</v>
      </c>
      <c r="C130" t="str">
        <f>VLOOKUP(A130,'Fox1'!A:E,5,FALSE)</f>
        <v>Silencer-SR</v>
      </c>
      <c r="D130" t="str">
        <f>VLOOKUP(A130,'Fox1'!A:F,6,FALSE)</f>
        <v>Prevents gunfire from showing up on enemy minimaps and makes it harder to hear and locate the position of the shooter.</v>
      </c>
      <c r="E130">
        <f t="shared" ref="E130:E193" si="4">LEFT(A130,LEN(A130)-7)*1</f>
        <v>3</v>
      </c>
      <c r="F130">
        <f t="shared" ref="F130:F193" si="5">LEFT(A130,LEN(A130)-5)*1</f>
        <v>302</v>
      </c>
      <c r="G130" t="str">
        <f>VLOOKUP(E130,DATA!A:C,3,FALSE)</f>
        <v>挂件</v>
      </c>
      <c r="H130" t="str">
        <f>VLOOKUP(MID(A130,LEN(A130)-2,1)*1,DATA!G:H,2,FALSE)</f>
        <v>PVP</v>
      </c>
      <c r="I130" t="str">
        <f>VLOOKUP(F130,DATA!B:D,3,FALSE)</f>
        <v>挂件</v>
      </c>
    </row>
    <row r="131" spans="1:9" x14ac:dyDescent="0.15">
      <c r="A131">
        <v>30200015</v>
      </c>
      <c r="B131">
        <f>VLOOKUP(A131,'Fox1'!A:F,2,FALSE)</f>
        <v>4</v>
      </c>
      <c r="C131" t="str">
        <f>VLOOKUP(A131,'Fox1'!A:E,5,FALSE)</f>
        <v>Silencer-SR</v>
      </c>
      <c r="D131" t="str">
        <f>VLOOKUP(A131,'Fox1'!A:F,6,FALSE)</f>
        <v>Prevents gunfire from showing up on enemy minimaps and makes it harder to hear and locate the position of the shooter.</v>
      </c>
      <c r="E131">
        <f t="shared" si="4"/>
        <v>3</v>
      </c>
      <c r="F131">
        <f t="shared" si="5"/>
        <v>302</v>
      </c>
      <c r="G131" t="str">
        <f>VLOOKUP(E131,DATA!A:C,3,FALSE)</f>
        <v>挂件</v>
      </c>
      <c r="H131" t="str">
        <f>VLOOKUP(MID(A131,LEN(A131)-2,1)*1,DATA!G:H,2,FALSE)</f>
        <v>PVP</v>
      </c>
      <c r="I131" t="str">
        <f>VLOOKUP(F131,DATA!B:D,3,FALSE)</f>
        <v>挂件</v>
      </c>
    </row>
    <row r="132" spans="1:9" x14ac:dyDescent="0.15">
      <c r="A132">
        <v>30200016</v>
      </c>
      <c r="B132">
        <f>VLOOKUP(A132,'Fox1'!A:F,2,FALSE)</f>
        <v>5</v>
      </c>
      <c r="C132" t="str">
        <f>VLOOKUP(A132,'Fox1'!A:E,5,FALSE)</f>
        <v>Silencer-SR</v>
      </c>
      <c r="D132" t="str">
        <f>VLOOKUP(A132,'Fox1'!A:F,6,FALSE)</f>
        <v>Prevents gunfire from showing up on enemy minimaps and makes it harder to hear and locate the position of the shooter.</v>
      </c>
      <c r="E132">
        <f t="shared" si="4"/>
        <v>3</v>
      </c>
      <c r="F132">
        <f t="shared" si="5"/>
        <v>302</v>
      </c>
      <c r="G132" t="str">
        <f>VLOOKUP(E132,DATA!A:C,3,FALSE)</f>
        <v>挂件</v>
      </c>
      <c r="H132" t="str">
        <f>VLOOKUP(MID(A132,LEN(A132)-2,1)*1,DATA!G:H,2,FALSE)</f>
        <v>PVP</v>
      </c>
      <c r="I132" t="str">
        <f>VLOOKUP(F132,DATA!B:D,3,FALSE)</f>
        <v>挂件</v>
      </c>
    </row>
    <row r="133" spans="1:9" x14ac:dyDescent="0.15">
      <c r="A133">
        <v>30200017</v>
      </c>
      <c r="B133">
        <f>VLOOKUP(A133,'Fox1'!A:F,2,FALSE)</f>
        <v>2</v>
      </c>
      <c r="C133" t="str">
        <f>VLOOKUP(A133,'Fox1'!A:E,5,FALSE)</f>
        <v>Silencer-SG</v>
      </c>
      <c r="D133" t="str">
        <f>VLOOKUP(A133,'Fox1'!A:F,6,FALSE)</f>
        <v>Prevents gunfire from showing up on enemy minimaps and makes it harder to hear and locate the position of the shooter.</v>
      </c>
      <c r="E133">
        <f t="shared" si="4"/>
        <v>3</v>
      </c>
      <c r="F133">
        <f t="shared" si="5"/>
        <v>302</v>
      </c>
      <c r="G133" t="str">
        <f>VLOOKUP(E133,DATA!A:C,3,FALSE)</f>
        <v>挂件</v>
      </c>
      <c r="H133" t="str">
        <f>VLOOKUP(MID(A133,LEN(A133)-2,1)*1,DATA!G:H,2,FALSE)</f>
        <v>PVP</v>
      </c>
      <c r="I133" t="str">
        <f>VLOOKUP(F133,DATA!B:D,3,FALSE)</f>
        <v>挂件</v>
      </c>
    </row>
    <row r="134" spans="1:9" x14ac:dyDescent="0.15">
      <c r="A134">
        <v>30200018</v>
      </c>
      <c r="B134">
        <f>VLOOKUP(A134,'Fox1'!A:F,2,FALSE)</f>
        <v>1</v>
      </c>
      <c r="C134" t="str">
        <f>VLOOKUP(A134,'Fox1'!A:E,5,FALSE)</f>
        <v>Silencer-SG</v>
      </c>
      <c r="D134" t="str">
        <f>VLOOKUP(A134,'Fox1'!A:F,6,FALSE)</f>
        <v>Prevents gunfire from showing up on enemy minimaps and makes it harder to hear and locate the position of the shooter.</v>
      </c>
      <c r="E134">
        <f t="shared" si="4"/>
        <v>3</v>
      </c>
      <c r="F134">
        <f t="shared" si="5"/>
        <v>302</v>
      </c>
      <c r="G134" t="str">
        <f>VLOOKUP(E134,DATA!A:C,3,FALSE)</f>
        <v>挂件</v>
      </c>
      <c r="H134" t="str">
        <f>VLOOKUP(MID(A134,LEN(A134)-2,1)*1,DATA!G:H,2,FALSE)</f>
        <v>PVP</v>
      </c>
      <c r="I134" t="str">
        <f>VLOOKUP(F134,DATA!B:D,3,FALSE)</f>
        <v>挂件</v>
      </c>
    </row>
    <row r="135" spans="1:9" x14ac:dyDescent="0.15">
      <c r="A135">
        <v>30200019</v>
      </c>
      <c r="B135">
        <f>VLOOKUP(A135,'Fox1'!A:F,2,FALSE)</f>
        <v>4</v>
      </c>
      <c r="C135" t="str">
        <f>VLOOKUP(A135,'Fox1'!A:E,5,FALSE)</f>
        <v>Silencer-SG</v>
      </c>
      <c r="D135" t="str">
        <f>VLOOKUP(A135,'Fox1'!A:F,6,FALSE)</f>
        <v>Prevents gunfire from showing up on enemy minimaps and makes it harder to hear and locate the position of the shooter.</v>
      </c>
      <c r="E135">
        <f t="shared" si="4"/>
        <v>3</v>
      </c>
      <c r="F135">
        <f t="shared" si="5"/>
        <v>302</v>
      </c>
      <c r="G135" t="str">
        <f>VLOOKUP(E135,DATA!A:C,3,FALSE)</f>
        <v>挂件</v>
      </c>
      <c r="H135" t="str">
        <f>VLOOKUP(MID(A135,LEN(A135)-2,1)*1,DATA!G:H,2,FALSE)</f>
        <v>PVP</v>
      </c>
      <c r="I135" t="str">
        <f>VLOOKUP(F135,DATA!B:D,3,FALSE)</f>
        <v>挂件</v>
      </c>
    </row>
    <row r="136" spans="1:9" x14ac:dyDescent="0.15">
      <c r="A136">
        <v>30200020</v>
      </c>
      <c r="B136">
        <f>VLOOKUP(A136,'Fox1'!A:F,2,FALSE)</f>
        <v>5</v>
      </c>
      <c r="C136" t="str">
        <f>VLOOKUP(A136,'Fox1'!A:E,5,FALSE)</f>
        <v>Silencer-SG</v>
      </c>
      <c r="D136" t="str">
        <f>VLOOKUP(A136,'Fox1'!A:F,6,FALSE)</f>
        <v>Prevents gunfire from showing up on enemy minimaps and makes it harder to hear and locate the position of the shooter.</v>
      </c>
      <c r="E136">
        <f t="shared" si="4"/>
        <v>3</v>
      </c>
      <c r="F136">
        <f t="shared" si="5"/>
        <v>302</v>
      </c>
      <c r="G136" t="str">
        <f>VLOOKUP(E136,DATA!A:C,3,FALSE)</f>
        <v>挂件</v>
      </c>
      <c r="H136" t="str">
        <f>VLOOKUP(MID(A136,LEN(A136)-2,1)*1,DATA!G:H,2,FALSE)</f>
        <v>PVP</v>
      </c>
      <c r="I136" t="str">
        <f>VLOOKUP(F136,DATA!B:D,3,FALSE)</f>
        <v>挂件</v>
      </c>
    </row>
    <row r="137" spans="1:9" x14ac:dyDescent="0.15">
      <c r="A137">
        <v>30200021</v>
      </c>
      <c r="B137">
        <f>VLOOKUP(A137,'Fox1'!A:F,2,FALSE)</f>
        <v>2</v>
      </c>
      <c r="C137" t="str">
        <f>VLOOKUP(A137,'Fox1'!A:E,5,FALSE)</f>
        <v>Silencer-Pistol</v>
      </c>
      <c r="D137" t="str">
        <f>VLOOKUP(A137,'Fox1'!A:F,6,FALSE)</f>
        <v>Prevents gunfire from showing up on enemy minimaps and makes it harder to hear and locate the position of the shooter.</v>
      </c>
      <c r="E137">
        <f t="shared" si="4"/>
        <v>3</v>
      </c>
      <c r="F137">
        <f t="shared" si="5"/>
        <v>302</v>
      </c>
      <c r="G137" t="str">
        <f>VLOOKUP(E137,DATA!A:C,3,FALSE)</f>
        <v>挂件</v>
      </c>
      <c r="H137" t="str">
        <f>VLOOKUP(MID(A137,LEN(A137)-2,1)*1,DATA!G:H,2,FALSE)</f>
        <v>PVP</v>
      </c>
      <c r="I137" t="str">
        <f>VLOOKUP(F137,DATA!B:D,3,FALSE)</f>
        <v>挂件</v>
      </c>
    </row>
    <row r="138" spans="1:9" x14ac:dyDescent="0.15">
      <c r="A138">
        <v>30200022</v>
      </c>
      <c r="B138">
        <f>VLOOKUP(A138,'Fox1'!A:F,2,FALSE)</f>
        <v>1</v>
      </c>
      <c r="C138" t="str">
        <f>VLOOKUP(A138,'Fox1'!A:E,5,FALSE)</f>
        <v>Silencer-Pistol</v>
      </c>
      <c r="D138" t="str">
        <f>VLOOKUP(A138,'Fox1'!A:F,6,FALSE)</f>
        <v>Prevents gunfire from showing up on enemy minimaps and makes it harder to hear and locate the position of the shooter.</v>
      </c>
      <c r="E138">
        <f t="shared" si="4"/>
        <v>3</v>
      </c>
      <c r="F138">
        <f t="shared" si="5"/>
        <v>302</v>
      </c>
      <c r="G138" t="str">
        <f>VLOOKUP(E138,DATA!A:C,3,FALSE)</f>
        <v>挂件</v>
      </c>
      <c r="H138" t="str">
        <f>VLOOKUP(MID(A138,LEN(A138)-2,1)*1,DATA!G:H,2,FALSE)</f>
        <v>PVP</v>
      </c>
      <c r="I138" t="str">
        <f>VLOOKUP(F138,DATA!B:D,3,FALSE)</f>
        <v>挂件</v>
      </c>
    </row>
    <row r="139" spans="1:9" x14ac:dyDescent="0.15">
      <c r="A139">
        <v>30200023</v>
      </c>
      <c r="B139">
        <f>VLOOKUP(A139,'Fox1'!A:F,2,FALSE)</f>
        <v>4</v>
      </c>
      <c r="C139" t="str">
        <f>VLOOKUP(A139,'Fox1'!A:E,5,FALSE)</f>
        <v>Silencer-Pistol</v>
      </c>
      <c r="D139" t="str">
        <f>VLOOKUP(A139,'Fox1'!A:F,6,FALSE)</f>
        <v>Prevents gunfire from showing up on enemy minimaps and makes it harder to hear and locate the position of the shooter.</v>
      </c>
      <c r="E139">
        <f t="shared" si="4"/>
        <v>3</v>
      </c>
      <c r="F139">
        <f t="shared" si="5"/>
        <v>302</v>
      </c>
      <c r="G139" t="str">
        <f>VLOOKUP(E139,DATA!A:C,3,FALSE)</f>
        <v>挂件</v>
      </c>
      <c r="H139" t="str">
        <f>VLOOKUP(MID(A139,LEN(A139)-2,1)*1,DATA!G:H,2,FALSE)</f>
        <v>PVP</v>
      </c>
      <c r="I139" t="str">
        <f>VLOOKUP(F139,DATA!B:D,3,FALSE)</f>
        <v>挂件</v>
      </c>
    </row>
    <row r="140" spans="1:9" x14ac:dyDescent="0.15">
      <c r="A140">
        <v>30200024</v>
      </c>
      <c r="B140">
        <f>VLOOKUP(A140,'Fox1'!A:F,2,FALSE)</f>
        <v>5</v>
      </c>
      <c r="C140" t="str">
        <f>VLOOKUP(A140,'Fox1'!A:E,5,FALSE)</f>
        <v>Silencer-Pistol</v>
      </c>
      <c r="D140" t="str">
        <f>VLOOKUP(A140,'Fox1'!A:F,6,FALSE)</f>
        <v>Prevents gunfire from showing up on enemy minimaps and makes it harder to hear and locate the position of the shooter.</v>
      </c>
      <c r="E140">
        <f t="shared" si="4"/>
        <v>3</v>
      </c>
      <c r="F140">
        <f t="shared" si="5"/>
        <v>302</v>
      </c>
      <c r="G140" t="str">
        <f>VLOOKUP(E140,DATA!A:C,3,FALSE)</f>
        <v>挂件</v>
      </c>
      <c r="H140" t="str">
        <f>VLOOKUP(MID(A140,LEN(A140)-2,1)*1,DATA!G:H,2,FALSE)</f>
        <v>PVP</v>
      </c>
      <c r="I140" t="str">
        <f>VLOOKUP(F140,DATA!B:D,3,FALSE)</f>
        <v>挂件</v>
      </c>
    </row>
    <row r="141" spans="1:9" x14ac:dyDescent="0.15">
      <c r="A141">
        <v>30300001</v>
      </c>
      <c r="B141">
        <f>VLOOKUP(A141,'Fox1'!A:F,2,FALSE)</f>
        <v>2</v>
      </c>
      <c r="C141" t="str">
        <f>VLOOKUP(A141,'Fox1'!A:E,5,FALSE)</f>
        <v>Extended Clip-AR</v>
      </c>
      <c r="D141" t="str">
        <f>VLOOKUP(A141,'Fox1'!A:F,6,FALSE)</f>
        <v>Increases magazine capacity.</v>
      </c>
      <c r="E141">
        <f t="shared" si="4"/>
        <v>3</v>
      </c>
      <c r="F141">
        <f t="shared" si="5"/>
        <v>303</v>
      </c>
      <c r="G141" t="str">
        <f>VLOOKUP(E141,DATA!A:C,3,FALSE)</f>
        <v>挂件</v>
      </c>
      <c r="H141" t="str">
        <f>VLOOKUP(MID(A141,LEN(A141)-2,1)*1,DATA!G:H,2,FALSE)</f>
        <v>PVP</v>
      </c>
      <c r="I141" t="str">
        <f>VLOOKUP(F141,DATA!B:D,3,FALSE)</f>
        <v>挂件</v>
      </c>
    </row>
    <row r="142" spans="1:9" x14ac:dyDescent="0.15">
      <c r="A142">
        <v>30300002</v>
      </c>
      <c r="B142">
        <f>VLOOKUP(A142,'Fox1'!A:F,2,FALSE)</f>
        <v>1</v>
      </c>
      <c r="C142" t="str">
        <f>VLOOKUP(A142,'Fox1'!A:E,5,FALSE)</f>
        <v>Extended Clip-AR</v>
      </c>
      <c r="D142" t="str">
        <f>VLOOKUP(A142,'Fox1'!A:F,6,FALSE)</f>
        <v>Increases magazine capacity.</v>
      </c>
      <c r="E142">
        <f t="shared" si="4"/>
        <v>3</v>
      </c>
      <c r="F142">
        <f t="shared" si="5"/>
        <v>303</v>
      </c>
      <c r="G142" t="str">
        <f>VLOOKUP(E142,DATA!A:C,3,FALSE)</f>
        <v>挂件</v>
      </c>
      <c r="H142" t="str">
        <f>VLOOKUP(MID(A142,LEN(A142)-2,1)*1,DATA!G:H,2,FALSE)</f>
        <v>PVP</v>
      </c>
      <c r="I142" t="str">
        <f>VLOOKUP(F142,DATA!B:D,3,FALSE)</f>
        <v>挂件</v>
      </c>
    </row>
    <row r="143" spans="1:9" x14ac:dyDescent="0.15">
      <c r="A143">
        <v>30300003</v>
      </c>
      <c r="B143">
        <f>VLOOKUP(A143,'Fox1'!A:F,2,FALSE)</f>
        <v>4</v>
      </c>
      <c r="C143" t="str">
        <f>VLOOKUP(A143,'Fox1'!A:E,5,FALSE)</f>
        <v>Extended Clip-AR</v>
      </c>
      <c r="D143" t="str">
        <f>VLOOKUP(A143,'Fox1'!A:F,6,FALSE)</f>
        <v>Increases magazine capacity.</v>
      </c>
      <c r="E143">
        <f t="shared" si="4"/>
        <v>3</v>
      </c>
      <c r="F143">
        <f t="shared" si="5"/>
        <v>303</v>
      </c>
      <c r="G143" t="str">
        <f>VLOOKUP(E143,DATA!A:C,3,FALSE)</f>
        <v>挂件</v>
      </c>
      <c r="H143" t="str">
        <f>VLOOKUP(MID(A143,LEN(A143)-2,1)*1,DATA!G:H,2,FALSE)</f>
        <v>PVP</v>
      </c>
      <c r="I143" t="str">
        <f>VLOOKUP(F143,DATA!B:D,3,FALSE)</f>
        <v>挂件</v>
      </c>
    </row>
    <row r="144" spans="1:9" x14ac:dyDescent="0.15">
      <c r="A144">
        <v>30300004</v>
      </c>
      <c r="B144">
        <f>VLOOKUP(A144,'Fox1'!A:F,2,FALSE)</f>
        <v>5</v>
      </c>
      <c r="C144" t="str">
        <f>VLOOKUP(A144,'Fox1'!A:E,5,FALSE)</f>
        <v>Extended Clip-AR</v>
      </c>
      <c r="D144" t="str">
        <f>VLOOKUP(A144,'Fox1'!A:F,6,FALSE)</f>
        <v>Increases magazine capacity.</v>
      </c>
      <c r="E144">
        <f t="shared" si="4"/>
        <v>3</v>
      </c>
      <c r="F144">
        <f t="shared" si="5"/>
        <v>303</v>
      </c>
      <c r="G144" t="str">
        <f>VLOOKUP(E144,DATA!A:C,3,FALSE)</f>
        <v>挂件</v>
      </c>
      <c r="H144" t="str">
        <f>VLOOKUP(MID(A144,LEN(A144)-2,1)*1,DATA!G:H,2,FALSE)</f>
        <v>PVP</v>
      </c>
      <c r="I144" t="str">
        <f>VLOOKUP(F144,DATA!B:D,3,FALSE)</f>
        <v>挂件</v>
      </c>
    </row>
    <row r="145" spans="1:9" x14ac:dyDescent="0.15">
      <c r="A145">
        <v>30300005</v>
      </c>
      <c r="B145">
        <f>VLOOKUP(A145,'Fox1'!A:F,2,FALSE)</f>
        <v>2</v>
      </c>
      <c r="C145" t="str">
        <f>VLOOKUP(A145,'Fox1'!A:E,5,FALSE)</f>
        <v>Extended Clip-SMG</v>
      </c>
      <c r="D145" t="str">
        <f>VLOOKUP(A145,'Fox1'!A:F,6,FALSE)</f>
        <v>Increases magazine capacity.</v>
      </c>
      <c r="E145">
        <f t="shared" si="4"/>
        <v>3</v>
      </c>
      <c r="F145">
        <f t="shared" si="5"/>
        <v>303</v>
      </c>
      <c r="G145" t="str">
        <f>VLOOKUP(E145,DATA!A:C,3,FALSE)</f>
        <v>挂件</v>
      </c>
      <c r="H145" t="str">
        <f>VLOOKUP(MID(A145,LEN(A145)-2,1)*1,DATA!G:H,2,FALSE)</f>
        <v>PVP</v>
      </c>
      <c r="I145" t="str">
        <f>VLOOKUP(F145,DATA!B:D,3,FALSE)</f>
        <v>挂件</v>
      </c>
    </row>
    <row r="146" spans="1:9" x14ac:dyDescent="0.15">
      <c r="A146">
        <v>30300006</v>
      </c>
      <c r="B146">
        <f>VLOOKUP(A146,'Fox1'!A:F,2,FALSE)</f>
        <v>1</v>
      </c>
      <c r="C146" t="str">
        <f>VLOOKUP(A146,'Fox1'!A:E,5,FALSE)</f>
        <v>Extended Clip-SMG</v>
      </c>
      <c r="D146" t="str">
        <f>VLOOKUP(A146,'Fox1'!A:F,6,FALSE)</f>
        <v>Increases magazine capacity.</v>
      </c>
      <c r="E146">
        <f t="shared" si="4"/>
        <v>3</v>
      </c>
      <c r="F146">
        <f t="shared" si="5"/>
        <v>303</v>
      </c>
      <c r="G146" t="str">
        <f>VLOOKUP(E146,DATA!A:C,3,FALSE)</f>
        <v>挂件</v>
      </c>
      <c r="H146" t="str">
        <f>VLOOKUP(MID(A146,LEN(A146)-2,1)*1,DATA!G:H,2,FALSE)</f>
        <v>PVP</v>
      </c>
      <c r="I146" t="str">
        <f>VLOOKUP(F146,DATA!B:D,3,FALSE)</f>
        <v>挂件</v>
      </c>
    </row>
    <row r="147" spans="1:9" x14ac:dyDescent="0.15">
      <c r="A147">
        <v>30300007</v>
      </c>
      <c r="B147">
        <f>VLOOKUP(A147,'Fox1'!A:F,2,FALSE)</f>
        <v>4</v>
      </c>
      <c r="C147" t="str">
        <f>VLOOKUP(A147,'Fox1'!A:E,5,FALSE)</f>
        <v>Extended Clip-SMG</v>
      </c>
      <c r="D147" t="str">
        <f>VLOOKUP(A147,'Fox1'!A:F,6,FALSE)</f>
        <v>Increases magazine capacity.</v>
      </c>
      <c r="E147">
        <f t="shared" si="4"/>
        <v>3</v>
      </c>
      <c r="F147">
        <f t="shared" si="5"/>
        <v>303</v>
      </c>
      <c r="G147" t="str">
        <f>VLOOKUP(E147,DATA!A:C,3,FALSE)</f>
        <v>挂件</v>
      </c>
      <c r="H147" t="str">
        <f>VLOOKUP(MID(A147,LEN(A147)-2,1)*1,DATA!G:H,2,FALSE)</f>
        <v>PVP</v>
      </c>
      <c r="I147" t="str">
        <f>VLOOKUP(F147,DATA!B:D,3,FALSE)</f>
        <v>挂件</v>
      </c>
    </row>
    <row r="148" spans="1:9" x14ac:dyDescent="0.15">
      <c r="A148">
        <v>30300008</v>
      </c>
      <c r="B148">
        <f>VLOOKUP(A148,'Fox1'!A:F,2,FALSE)</f>
        <v>5</v>
      </c>
      <c r="C148" t="str">
        <f>VLOOKUP(A148,'Fox1'!A:E,5,FALSE)</f>
        <v>Extended Clip-SMG</v>
      </c>
      <c r="D148" t="str">
        <f>VLOOKUP(A148,'Fox1'!A:F,6,FALSE)</f>
        <v>Increases magazine capacity.</v>
      </c>
      <c r="E148">
        <f t="shared" si="4"/>
        <v>3</v>
      </c>
      <c r="F148">
        <f t="shared" si="5"/>
        <v>303</v>
      </c>
      <c r="G148" t="str">
        <f>VLOOKUP(E148,DATA!A:C,3,FALSE)</f>
        <v>挂件</v>
      </c>
      <c r="H148" t="str">
        <f>VLOOKUP(MID(A148,LEN(A148)-2,1)*1,DATA!G:H,2,FALSE)</f>
        <v>PVP</v>
      </c>
      <c r="I148" t="str">
        <f>VLOOKUP(F148,DATA!B:D,3,FALSE)</f>
        <v>挂件</v>
      </c>
    </row>
    <row r="149" spans="1:9" x14ac:dyDescent="0.15">
      <c r="A149">
        <v>30300009</v>
      </c>
      <c r="B149">
        <f>VLOOKUP(A149,'Fox1'!A:F,2,FALSE)</f>
        <v>2</v>
      </c>
      <c r="C149" t="str">
        <f>VLOOKUP(A149,'Fox1'!A:E,5,FALSE)</f>
        <v>Extended Clip-LMG</v>
      </c>
      <c r="D149" t="str">
        <f>VLOOKUP(A149,'Fox1'!A:F,6,FALSE)</f>
        <v>Increases magazine capacity.</v>
      </c>
      <c r="E149">
        <f t="shared" si="4"/>
        <v>3</v>
      </c>
      <c r="F149">
        <f t="shared" si="5"/>
        <v>303</v>
      </c>
      <c r="G149" t="str">
        <f>VLOOKUP(E149,DATA!A:C,3,FALSE)</f>
        <v>挂件</v>
      </c>
      <c r="H149" t="str">
        <f>VLOOKUP(MID(A149,LEN(A149)-2,1)*1,DATA!G:H,2,FALSE)</f>
        <v>PVP</v>
      </c>
      <c r="I149" t="str">
        <f>VLOOKUP(F149,DATA!B:D,3,FALSE)</f>
        <v>挂件</v>
      </c>
    </row>
    <row r="150" spans="1:9" x14ac:dyDescent="0.15">
      <c r="A150">
        <v>30300010</v>
      </c>
      <c r="B150">
        <f>VLOOKUP(A150,'Fox1'!A:F,2,FALSE)</f>
        <v>1</v>
      </c>
      <c r="C150" t="str">
        <f>VLOOKUP(A150,'Fox1'!A:E,5,FALSE)</f>
        <v>Extended Clip-LMG</v>
      </c>
      <c r="D150" t="str">
        <f>VLOOKUP(A150,'Fox1'!A:F,6,FALSE)</f>
        <v>Increases magazine capacity.</v>
      </c>
      <c r="E150">
        <f t="shared" si="4"/>
        <v>3</v>
      </c>
      <c r="F150">
        <f t="shared" si="5"/>
        <v>303</v>
      </c>
      <c r="G150" t="str">
        <f>VLOOKUP(E150,DATA!A:C,3,FALSE)</f>
        <v>挂件</v>
      </c>
      <c r="H150" t="str">
        <f>VLOOKUP(MID(A150,LEN(A150)-2,1)*1,DATA!G:H,2,FALSE)</f>
        <v>PVP</v>
      </c>
      <c r="I150" t="str">
        <f>VLOOKUP(F150,DATA!B:D,3,FALSE)</f>
        <v>挂件</v>
      </c>
    </row>
    <row r="151" spans="1:9" x14ac:dyDescent="0.15">
      <c r="A151">
        <v>30300011</v>
      </c>
      <c r="B151">
        <f>VLOOKUP(A151,'Fox1'!A:F,2,FALSE)</f>
        <v>4</v>
      </c>
      <c r="C151" t="str">
        <f>VLOOKUP(A151,'Fox1'!A:E,5,FALSE)</f>
        <v>Extended Clip-LMG</v>
      </c>
      <c r="D151" t="str">
        <f>VLOOKUP(A151,'Fox1'!A:F,6,FALSE)</f>
        <v>Increases magazine capacity.</v>
      </c>
      <c r="E151">
        <f t="shared" si="4"/>
        <v>3</v>
      </c>
      <c r="F151">
        <f t="shared" si="5"/>
        <v>303</v>
      </c>
      <c r="G151" t="str">
        <f>VLOOKUP(E151,DATA!A:C,3,FALSE)</f>
        <v>挂件</v>
      </c>
      <c r="H151" t="str">
        <f>VLOOKUP(MID(A151,LEN(A151)-2,1)*1,DATA!G:H,2,FALSE)</f>
        <v>PVP</v>
      </c>
      <c r="I151" t="str">
        <f>VLOOKUP(F151,DATA!B:D,3,FALSE)</f>
        <v>挂件</v>
      </c>
    </row>
    <row r="152" spans="1:9" x14ac:dyDescent="0.15">
      <c r="A152">
        <v>30300012</v>
      </c>
      <c r="B152">
        <f>VLOOKUP(A152,'Fox1'!A:F,2,FALSE)</f>
        <v>5</v>
      </c>
      <c r="C152" t="str">
        <f>VLOOKUP(A152,'Fox1'!A:E,5,FALSE)</f>
        <v>Extended Clip-LMG</v>
      </c>
      <c r="D152" t="str">
        <f>VLOOKUP(A152,'Fox1'!A:F,6,FALSE)</f>
        <v>Increases magazine capacity.</v>
      </c>
      <c r="E152">
        <f t="shared" si="4"/>
        <v>3</v>
      </c>
      <c r="F152">
        <f t="shared" si="5"/>
        <v>303</v>
      </c>
      <c r="G152" t="str">
        <f>VLOOKUP(E152,DATA!A:C,3,FALSE)</f>
        <v>挂件</v>
      </c>
      <c r="H152" t="str">
        <f>VLOOKUP(MID(A152,LEN(A152)-2,1)*1,DATA!G:H,2,FALSE)</f>
        <v>PVP</v>
      </c>
      <c r="I152" t="str">
        <f>VLOOKUP(F152,DATA!B:D,3,FALSE)</f>
        <v>挂件</v>
      </c>
    </row>
    <row r="153" spans="1:9" x14ac:dyDescent="0.15">
      <c r="A153">
        <v>30300013</v>
      </c>
      <c r="B153">
        <f>VLOOKUP(A153,'Fox1'!A:F,2,FALSE)</f>
        <v>2</v>
      </c>
      <c r="C153" t="str">
        <f>VLOOKUP(A153,'Fox1'!A:E,5,FALSE)</f>
        <v>Extended Clip-SR</v>
      </c>
      <c r="D153" t="str">
        <f>VLOOKUP(A153,'Fox1'!A:F,6,FALSE)</f>
        <v>Increases magazine capacity.</v>
      </c>
      <c r="E153">
        <f t="shared" si="4"/>
        <v>3</v>
      </c>
      <c r="F153">
        <f t="shared" si="5"/>
        <v>303</v>
      </c>
      <c r="G153" t="str">
        <f>VLOOKUP(E153,DATA!A:C,3,FALSE)</f>
        <v>挂件</v>
      </c>
      <c r="H153" t="str">
        <f>VLOOKUP(MID(A153,LEN(A153)-2,1)*1,DATA!G:H,2,FALSE)</f>
        <v>PVP</v>
      </c>
      <c r="I153" t="str">
        <f>VLOOKUP(F153,DATA!B:D,3,FALSE)</f>
        <v>挂件</v>
      </c>
    </row>
    <row r="154" spans="1:9" x14ac:dyDescent="0.15">
      <c r="A154">
        <v>30300014</v>
      </c>
      <c r="B154">
        <f>VLOOKUP(A154,'Fox1'!A:F,2,FALSE)</f>
        <v>1</v>
      </c>
      <c r="C154" t="str">
        <f>VLOOKUP(A154,'Fox1'!A:E,5,FALSE)</f>
        <v>Extended Clip-SR</v>
      </c>
      <c r="D154" t="str">
        <f>VLOOKUP(A154,'Fox1'!A:F,6,FALSE)</f>
        <v>Increases magazine capacity.</v>
      </c>
      <c r="E154">
        <f t="shared" si="4"/>
        <v>3</v>
      </c>
      <c r="F154">
        <f t="shared" si="5"/>
        <v>303</v>
      </c>
      <c r="G154" t="str">
        <f>VLOOKUP(E154,DATA!A:C,3,FALSE)</f>
        <v>挂件</v>
      </c>
      <c r="H154" t="str">
        <f>VLOOKUP(MID(A154,LEN(A154)-2,1)*1,DATA!G:H,2,FALSE)</f>
        <v>PVP</v>
      </c>
      <c r="I154" t="str">
        <f>VLOOKUP(F154,DATA!B:D,3,FALSE)</f>
        <v>挂件</v>
      </c>
    </row>
    <row r="155" spans="1:9" x14ac:dyDescent="0.15">
      <c r="A155">
        <v>30300015</v>
      </c>
      <c r="B155">
        <f>VLOOKUP(A155,'Fox1'!A:F,2,FALSE)</f>
        <v>4</v>
      </c>
      <c r="C155" t="str">
        <f>VLOOKUP(A155,'Fox1'!A:E,5,FALSE)</f>
        <v>Extended Clip-SR</v>
      </c>
      <c r="D155" t="str">
        <f>VLOOKUP(A155,'Fox1'!A:F,6,FALSE)</f>
        <v>Increases magazine capacity.</v>
      </c>
      <c r="E155">
        <f t="shared" si="4"/>
        <v>3</v>
      </c>
      <c r="F155">
        <f t="shared" si="5"/>
        <v>303</v>
      </c>
      <c r="G155" t="str">
        <f>VLOOKUP(E155,DATA!A:C,3,FALSE)</f>
        <v>挂件</v>
      </c>
      <c r="H155" t="str">
        <f>VLOOKUP(MID(A155,LEN(A155)-2,1)*1,DATA!G:H,2,FALSE)</f>
        <v>PVP</v>
      </c>
      <c r="I155" t="str">
        <f>VLOOKUP(F155,DATA!B:D,3,FALSE)</f>
        <v>挂件</v>
      </c>
    </row>
    <row r="156" spans="1:9" x14ac:dyDescent="0.15">
      <c r="A156">
        <v>30300016</v>
      </c>
      <c r="B156">
        <f>VLOOKUP(A156,'Fox1'!A:F,2,FALSE)</f>
        <v>5</v>
      </c>
      <c r="C156" t="str">
        <f>VLOOKUP(A156,'Fox1'!A:E,5,FALSE)</f>
        <v>Extended Clip-SR</v>
      </c>
      <c r="D156" t="str">
        <f>VLOOKUP(A156,'Fox1'!A:F,6,FALSE)</f>
        <v>Increases magazine capacity.</v>
      </c>
      <c r="E156">
        <f t="shared" si="4"/>
        <v>3</v>
      </c>
      <c r="F156">
        <f t="shared" si="5"/>
        <v>303</v>
      </c>
      <c r="G156" t="str">
        <f>VLOOKUP(E156,DATA!A:C,3,FALSE)</f>
        <v>挂件</v>
      </c>
      <c r="H156" t="str">
        <f>VLOOKUP(MID(A156,LEN(A156)-2,1)*1,DATA!G:H,2,FALSE)</f>
        <v>PVP</v>
      </c>
      <c r="I156" t="str">
        <f>VLOOKUP(F156,DATA!B:D,3,FALSE)</f>
        <v>挂件</v>
      </c>
    </row>
    <row r="157" spans="1:9" x14ac:dyDescent="0.15">
      <c r="A157">
        <v>30300017</v>
      </c>
      <c r="B157">
        <f>VLOOKUP(A157,'Fox1'!A:F,2,FALSE)</f>
        <v>2</v>
      </c>
      <c r="C157" t="str">
        <f>VLOOKUP(A157,'Fox1'!A:E,5,FALSE)</f>
        <v>Extended Clip-SG</v>
      </c>
      <c r="D157" t="str">
        <f>VLOOKUP(A157,'Fox1'!A:F,6,FALSE)</f>
        <v>Increases magazine capacity.</v>
      </c>
      <c r="E157">
        <f t="shared" si="4"/>
        <v>3</v>
      </c>
      <c r="F157">
        <f t="shared" si="5"/>
        <v>303</v>
      </c>
      <c r="G157" t="str">
        <f>VLOOKUP(E157,DATA!A:C,3,FALSE)</f>
        <v>挂件</v>
      </c>
      <c r="H157" t="str">
        <f>VLOOKUP(MID(A157,LEN(A157)-2,1)*1,DATA!G:H,2,FALSE)</f>
        <v>PVP</v>
      </c>
      <c r="I157" t="str">
        <f>VLOOKUP(F157,DATA!B:D,3,FALSE)</f>
        <v>挂件</v>
      </c>
    </row>
    <row r="158" spans="1:9" x14ac:dyDescent="0.15">
      <c r="A158">
        <v>30300018</v>
      </c>
      <c r="B158">
        <f>VLOOKUP(A158,'Fox1'!A:F,2,FALSE)</f>
        <v>1</v>
      </c>
      <c r="C158" t="str">
        <f>VLOOKUP(A158,'Fox1'!A:E,5,FALSE)</f>
        <v>Extended Clip-SG</v>
      </c>
      <c r="D158" t="str">
        <f>VLOOKUP(A158,'Fox1'!A:F,6,FALSE)</f>
        <v>Increases magazine capacity.</v>
      </c>
      <c r="E158">
        <f t="shared" si="4"/>
        <v>3</v>
      </c>
      <c r="F158">
        <f t="shared" si="5"/>
        <v>303</v>
      </c>
      <c r="G158" t="str">
        <f>VLOOKUP(E158,DATA!A:C,3,FALSE)</f>
        <v>挂件</v>
      </c>
      <c r="H158" t="str">
        <f>VLOOKUP(MID(A158,LEN(A158)-2,1)*1,DATA!G:H,2,FALSE)</f>
        <v>PVP</v>
      </c>
      <c r="I158" t="str">
        <f>VLOOKUP(F158,DATA!B:D,3,FALSE)</f>
        <v>挂件</v>
      </c>
    </row>
    <row r="159" spans="1:9" x14ac:dyDescent="0.15">
      <c r="A159">
        <v>30300019</v>
      </c>
      <c r="B159">
        <f>VLOOKUP(A159,'Fox1'!A:F,2,FALSE)</f>
        <v>4</v>
      </c>
      <c r="C159" t="str">
        <f>VLOOKUP(A159,'Fox1'!A:E,5,FALSE)</f>
        <v>Extended Clip-SG</v>
      </c>
      <c r="D159" t="str">
        <f>VLOOKUP(A159,'Fox1'!A:F,6,FALSE)</f>
        <v>Increases magazine capacity.</v>
      </c>
      <c r="E159">
        <f t="shared" si="4"/>
        <v>3</v>
      </c>
      <c r="F159">
        <f t="shared" si="5"/>
        <v>303</v>
      </c>
      <c r="G159" t="str">
        <f>VLOOKUP(E159,DATA!A:C,3,FALSE)</f>
        <v>挂件</v>
      </c>
      <c r="H159" t="str">
        <f>VLOOKUP(MID(A159,LEN(A159)-2,1)*1,DATA!G:H,2,FALSE)</f>
        <v>PVP</v>
      </c>
      <c r="I159" t="str">
        <f>VLOOKUP(F159,DATA!B:D,3,FALSE)</f>
        <v>挂件</v>
      </c>
    </row>
    <row r="160" spans="1:9" x14ac:dyDescent="0.15">
      <c r="A160">
        <v>30300020</v>
      </c>
      <c r="B160">
        <f>VLOOKUP(A160,'Fox1'!A:F,2,FALSE)</f>
        <v>5</v>
      </c>
      <c r="C160" t="str">
        <f>VLOOKUP(A160,'Fox1'!A:E,5,FALSE)</f>
        <v>Extended Clip-SG</v>
      </c>
      <c r="D160" t="str">
        <f>VLOOKUP(A160,'Fox1'!A:F,6,FALSE)</f>
        <v>Increases magazine capacity.</v>
      </c>
      <c r="E160">
        <f t="shared" si="4"/>
        <v>3</v>
      </c>
      <c r="F160">
        <f t="shared" si="5"/>
        <v>303</v>
      </c>
      <c r="G160" t="str">
        <f>VLOOKUP(E160,DATA!A:C,3,FALSE)</f>
        <v>挂件</v>
      </c>
      <c r="H160" t="str">
        <f>VLOOKUP(MID(A160,LEN(A160)-2,1)*1,DATA!G:H,2,FALSE)</f>
        <v>PVP</v>
      </c>
      <c r="I160" t="str">
        <f>VLOOKUP(F160,DATA!B:D,3,FALSE)</f>
        <v>挂件</v>
      </c>
    </row>
    <row r="161" spans="1:9" x14ac:dyDescent="0.15">
      <c r="A161">
        <v>30300021</v>
      </c>
      <c r="B161">
        <f>VLOOKUP(A161,'Fox1'!A:F,2,FALSE)</f>
        <v>2</v>
      </c>
      <c r="C161" t="str">
        <f>VLOOKUP(A161,'Fox1'!A:E,5,FALSE)</f>
        <v>Extended Clip-Pistol</v>
      </c>
      <c r="D161" t="str">
        <f>VLOOKUP(A161,'Fox1'!A:F,6,FALSE)</f>
        <v>Increases magazine capacity.</v>
      </c>
      <c r="E161">
        <f t="shared" si="4"/>
        <v>3</v>
      </c>
      <c r="F161">
        <f t="shared" si="5"/>
        <v>303</v>
      </c>
      <c r="G161" t="str">
        <f>VLOOKUP(E161,DATA!A:C,3,FALSE)</f>
        <v>挂件</v>
      </c>
      <c r="H161" t="str">
        <f>VLOOKUP(MID(A161,LEN(A161)-2,1)*1,DATA!G:H,2,FALSE)</f>
        <v>PVP</v>
      </c>
      <c r="I161" t="str">
        <f>VLOOKUP(F161,DATA!B:D,3,FALSE)</f>
        <v>挂件</v>
      </c>
    </row>
    <row r="162" spans="1:9" x14ac:dyDescent="0.15">
      <c r="A162">
        <v>30300022</v>
      </c>
      <c r="B162">
        <f>VLOOKUP(A162,'Fox1'!A:F,2,FALSE)</f>
        <v>1</v>
      </c>
      <c r="C162" t="str">
        <f>VLOOKUP(A162,'Fox1'!A:E,5,FALSE)</f>
        <v>Extended Clip-Pistol</v>
      </c>
      <c r="D162" t="str">
        <f>VLOOKUP(A162,'Fox1'!A:F,6,FALSE)</f>
        <v>Increases magazine capacity.</v>
      </c>
      <c r="E162">
        <f t="shared" si="4"/>
        <v>3</v>
      </c>
      <c r="F162">
        <f t="shared" si="5"/>
        <v>303</v>
      </c>
      <c r="G162" t="str">
        <f>VLOOKUP(E162,DATA!A:C,3,FALSE)</f>
        <v>挂件</v>
      </c>
      <c r="H162" t="str">
        <f>VLOOKUP(MID(A162,LEN(A162)-2,1)*1,DATA!G:H,2,FALSE)</f>
        <v>PVP</v>
      </c>
      <c r="I162" t="str">
        <f>VLOOKUP(F162,DATA!B:D,3,FALSE)</f>
        <v>挂件</v>
      </c>
    </row>
    <row r="163" spans="1:9" x14ac:dyDescent="0.15">
      <c r="A163">
        <v>30300023</v>
      </c>
      <c r="B163">
        <f>VLOOKUP(A163,'Fox1'!A:F,2,FALSE)</f>
        <v>4</v>
      </c>
      <c r="C163" t="str">
        <f>VLOOKUP(A163,'Fox1'!A:E,5,FALSE)</f>
        <v>Extended Clip-Pistol</v>
      </c>
      <c r="D163" t="str">
        <f>VLOOKUP(A163,'Fox1'!A:F,6,FALSE)</f>
        <v>Increases magazine capacity.</v>
      </c>
      <c r="E163">
        <f t="shared" si="4"/>
        <v>3</v>
      </c>
      <c r="F163">
        <f t="shared" si="5"/>
        <v>303</v>
      </c>
      <c r="G163" t="str">
        <f>VLOOKUP(E163,DATA!A:C,3,FALSE)</f>
        <v>挂件</v>
      </c>
      <c r="H163" t="str">
        <f>VLOOKUP(MID(A163,LEN(A163)-2,1)*1,DATA!G:H,2,FALSE)</f>
        <v>PVP</v>
      </c>
      <c r="I163" t="str">
        <f>VLOOKUP(F163,DATA!B:D,3,FALSE)</f>
        <v>挂件</v>
      </c>
    </row>
    <row r="164" spans="1:9" x14ac:dyDescent="0.15">
      <c r="A164">
        <v>30300024</v>
      </c>
      <c r="B164">
        <f>VLOOKUP(A164,'Fox1'!A:F,2,FALSE)</f>
        <v>5</v>
      </c>
      <c r="C164" t="str">
        <f>VLOOKUP(A164,'Fox1'!A:E,5,FALSE)</f>
        <v>Extended Clip-Pistol</v>
      </c>
      <c r="D164" t="str">
        <f>VLOOKUP(A164,'Fox1'!A:F,6,FALSE)</f>
        <v>Increases magazine capacity.</v>
      </c>
      <c r="E164">
        <f t="shared" si="4"/>
        <v>3</v>
      </c>
      <c r="F164">
        <f t="shared" si="5"/>
        <v>303</v>
      </c>
      <c r="G164" t="str">
        <f>VLOOKUP(E164,DATA!A:C,3,FALSE)</f>
        <v>挂件</v>
      </c>
      <c r="H164" t="str">
        <f>VLOOKUP(MID(A164,LEN(A164)-2,1)*1,DATA!G:H,2,FALSE)</f>
        <v>PVP</v>
      </c>
      <c r="I164" t="str">
        <f>VLOOKUP(F164,DATA!B:D,3,FALSE)</f>
        <v>挂件</v>
      </c>
    </row>
    <row r="165" spans="1:9" x14ac:dyDescent="0.15">
      <c r="A165">
        <v>30301001</v>
      </c>
      <c r="B165">
        <f>VLOOKUP(A165,'Fox1'!A:F,2,FALSE)</f>
        <v>2</v>
      </c>
      <c r="C165" t="str">
        <f>VLOOKUP(A165,'Fox1'!A:E,5,FALSE)</f>
        <v>Fast Mag-AR</v>
      </c>
      <c r="D165" t="str">
        <f>VLOOKUP(A165,'Fox1'!A:F,6,FALSE)</f>
        <v>Reload faster</v>
      </c>
      <c r="E165">
        <f t="shared" si="4"/>
        <v>3</v>
      </c>
      <c r="F165">
        <f t="shared" si="5"/>
        <v>303</v>
      </c>
      <c r="G165" t="str">
        <f>VLOOKUP(E165,DATA!A:C,3,FALSE)</f>
        <v>挂件</v>
      </c>
      <c r="H165" t="str">
        <f>VLOOKUP(MID(A165,LEN(A165)-2,1)*1,DATA!G:H,2,FALSE)</f>
        <v>PVP</v>
      </c>
      <c r="I165" t="str">
        <f>VLOOKUP(F165,DATA!B:D,3,FALSE)</f>
        <v>挂件</v>
      </c>
    </row>
    <row r="166" spans="1:9" x14ac:dyDescent="0.15">
      <c r="A166">
        <v>30301002</v>
      </c>
      <c r="B166">
        <f>VLOOKUP(A166,'Fox1'!A:F,2,FALSE)</f>
        <v>1</v>
      </c>
      <c r="C166" t="str">
        <f>VLOOKUP(A166,'Fox1'!A:E,5,FALSE)</f>
        <v>Fast Mag-AR</v>
      </c>
      <c r="D166" t="str">
        <f>VLOOKUP(A166,'Fox1'!A:F,6,FALSE)</f>
        <v>Reload faster</v>
      </c>
      <c r="E166">
        <f t="shared" si="4"/>
        <v>3</v>
      </c>
      <c r="F166">
        <f t="shared" si="5"/>
        <v>303</v>
      </c>
      <c r="G166" t="str">
        <f>VLOOKUP(E166,DATA!A:C,3,FALSE)</f>
        <v>挂件</v>
      </c>
      <c r="H166" t="str">
        <f>VLOOKUP(MID(A166,LEN(A166)-2,1)*1,DATA!G:H,2,FALSE)</f>
        <v>PVP</v>
      </c>
      <c r="I166" t="str">
        <f>VLOOKUP(F166,DATA!B:D,3,FALSE)</f>
        <v>挂件</v>
      </c>
    </row>
    <row r="167" spans="1:9" x14ac:dyDescent="0.15">
      <c r="A167">
        <v>30301003</v>
      </c>
      <c r="B167">
        <f>VLOOKUP(A167,'Fox1'!A:F,2,FALSE)</f>
        <v>4</v>
      </c>
      <c r="C167" t="str">
        <f>VLOOKUP(A167,'Fox1'!A:E,5,FALSE)</f>
        <v>Fast Mag-AR</v>
      </c>
      <c r="D167" t="str">
        <f>VLOOKUP(A167,'Fox1'!A:F,6,FALSE)</f>
        <v>Reload faster</v>
      </c>
      <c r="E167">
        <f t="shared" si="4"/>
        <v>3</v>
      </c>
      <c r="F167">
        <f t="shared" si="5"/>
        <v>303</v>
      </c>
      <c r="G167" t="str">
        <f>VLOOKUP(E167,DATA!A:C,3,FALSE)</f>
        <v>挂件</v>
      </c>
      <c r="H167" t="str">
        <f>VLOOKUP(MID(A167,LEN(A167)-2,1)*1,DATA!G:H,2,FALSE)</f>
        <v>PVP</v>
      </c>
      <c r="I167" t="str">
        <f>VLOOKUP(F167,DATA!B:D,3,FALSE)</f>
        <v>挂件</v>
      </c>
    </row>
    <row r="168" spans="1:9" x14ac:dyDescent="0.15">
      <c r="A168">
        <v>30301004</v>
      </c>
      <c r="B168">
        <f>VLOOKUP(A168,'Fox1'!A:F,2,FALSE)</f>
        <v>5</v>
      </c>
      <c r="C168" t="str">
        <f>VLOOKUP(A168,'Fox1'!A:E,5,FALSE)</f>
        <v>Fast Mag-AR</v>
      </c>
      <c r="D168" t="str">
        <f>VLOOKUP(A168,'Fox1'!A:F,6,FALSE)</f>
        <v>Reload faster</v>
      </c>
      <c r="E168">
        <f t="shared" si="4"/>
        <v>3</v>
      </c>
      <c r="F168">
        <f t="shared" si="5"/>
        <v>303</v>
      </c>
      <c r="G168" t="str">
        <f>VLOOKUP(E168,DATA!A:C,3,FALSE)</f>
        <v>挂件</v>
      </c>
      <c r="H168" t="str">
        <f>VLOOKUP(MID(A168,LEN(A168)-2,1)*1,DATA!G:H,2,FALSE)</f>
        <v>PVP</v>
      </c>
      <c r="I168" t="str">
        <f>VLOOKUP(F168,DATA!B:D,3,FALSE)</f>
        <v>挂件</v>
      </c>
    </row>
    <row r="169" spans="1:9" x14ac:dyDescent="0.15">
      <c r="A169">
        <v>30301005</v>
      </c>
      <c r="B169">
        <f>VLOOKUP(A169,'Fox1'!A:F,2,FALSE)</f>
        <v>2</v>
      </c>
      <c r="C169" t="str">
        <f>VLOOKUP(A169,'Fox1'!A:E,5,FALSE)</f>
        <v>Fast Mag-SMG</v>
      </c>
      <c r="D169" t="str">
        <f>VLOOKUP(A169,'Fox1'!A:F,6,FALSE)</f>
        <v>Reload faster</v>
      </c>
      <c r="E169">
        <f t="shared" si="4"/>
        <v>3</v>
      </c>
      <c r="F169">
        <f t="shared" si="5"/>
        <v>303</v>
      </c>
      <c r="G169" t="str">
        <f>VLOOKUP(E169,DATA!A:C,3,FALSE)</f>
        <v>挂件</v>
      </c>
      <c r="H169" t="str">
        <f>VLOOKUP(MID(A169,LEN(A169)-2,1)*1,DATA!G:H,2,FALSE)</f>
        <v>PVP</v>
      </c>
      <c r="I169" t="str">
        <f>VLOOKUP(F169,DATA!B:D,3,FALSE)</f>
        <v>挂件</v>
      </c>
    </row>
    <row r="170" spans="1:9" x14ac:dyDescent="0.15">
      <c r="A170">
        <v>30301006</v>
      </c>
      <c r="B170">
        <f>VLOOKUP(A170,'Fox1'!A:F,2,FALSE)</f>
        <v>1</v>
      </c>
      <c r="C170" t="str">
        <f>VLOOKUP(A170,'Fox1'!A:E,5,FALSE)</f>
        <v>Fast Mag-SMG</v>
      </c>
      <c r="D170" t="str">
        <f>VLOOKUP(A170,'Fox1'!A:F,6,FALSE)</f>
        <v>Reload faster</v>
      </c>
      <c r="E170">
        <f t="shared" si="4"/>
        <v>3</v>
      </c>
      <c r="F170">
        <f t="shared" si="5"/>
        <v>303</v>
      </c>
      <c r="G170" t="str">
        <f>VLOOKUP(E170,DATA!A:C,3,FALSE)</f>
        <v>挂件</v>
      </c>
      <c r="H170" t="str">
        <f>VLOOKUP(MID(A170,LEN(A170)-2,1)*1,DATA!G:H,2,FALSE)</f>
        <v>PVP</v>
      </c>
      <c r="I170" t="str">
        <f>VLOOKUP(F170,DATA!B:D,3,FALSE)</f>
        <v>挂件</v>
      </c>
    </row>
    <row r="171" spans="1:9" x14ac:dyDescent="0.15">
      <c r="A171">
        <v>30301007</v>
      </c>
      <c r="B171">
        <f>VLOOKUP(A171,'Fox1'!A:F,2,FALSE)</f>
        <v>4</v>
      </c>
      <c r="C171" t="str">
        <f>VLOOKUP(A171,'Fox1'!A:E,5,FALSE)</f>
        <v>Fast Mag-SMG</v>
      </c>
      <c r="D171" t="str">
        <f>VLOOKUP(A171,'Fox1'!A:F,6,FALSE)</f>
        <v>Reload faster</v>
      </c>
      <c r="E171">
        <f t="shared" si="4"/>
        <v>3</v>
      </c>
      <c r="F171">
        <f t="shared" si="5"/>
        <v>303</v>
      </c>
      <c r="G171" t="str">
        <f>VLOOKUP(E171,DATA!A:C,3,FALSE)</f>
        <v>挂件</v>
      </c>
      <c r="H171" t="str">
        <f>VLOOKUP(MID(A171,LEN(A171)-2,1)*1,DATA!G:H,2,FALSE)</f>
        <v>PVP</v>
      </c>
      <c r="I171" t="str">
        <f>VLOOKUP(F171,DATA!B:D,3,FALSE)</f>
        <v>挂件</v>
      </c>
    </row>
    <row r="172" spans="1:9" x14ac:dyDescent="0.15">
      <c r="A172">
        <v>30301008</v>
      </c>
      <c r="B172">
        <f>VLOOKUP(A172,'Fox1'!A:F,2,FALSE)</f>
        <v>5</v>
      </c>
      <c r="C172" t="str">
        <f>VLOOKUP(A172,'Fox1'!A:E,5,FALSE)</f>
        <v>Fast Mag-SMG</v>
      </c>
      <c r="D172" t="str">
        <f>VLOOKUP(A172,'Fox1'!A:F,6,FALSE)</f>
        <v>Reload faster</v>
      </c>
      <c r="E172">
        <f t="shared" si="4"/>
        <v>3</v>
      </c>
      <c r="F172">
        <f t="shared" si="5"/>
        <v>303</v>
      </c>
      <c r="G172" t="str">
        <f>VLOOKUP(E172,DATA!A:C,3,FALSE)</f>
        <v>挂件</v>
      </c>
      <c r="H172" t="str">
        <f>VLOOKUP(MID(A172,LEN(A172)-2,1)*1,DATA!G:H,2,FALSE)</f>
        <v>PVP</v>
      </c>
      <c r="I172" t="str">
        <f>VLOOKUP(F172,DATA!B:D,3,FALSE)</f>
        <v>挂件</v>
      </c>
    </row>
    <row r="173" spans="1:9" x14ac:dyDescent="0.15">
      <c r="A173">
        <v>30301009</v>
      </c>
      <c r="B173">
        <f>VLOOKUP(A173,'Fox1'!A:F,2,FALSE)</f>
        <v>2</v>
      </c>
      <c r="C173" t="str">
        <f>VLOOKUP(A173,'Fox1'!A:E,5,FALSE)</f>
        <v>Fast Mag-LMG</v>
      </c>
      <c r="D173" t="str">
        <f>VLOOKUP(A173,'Fox1'!A:F,6,FALSE)</f>
        <v>Reload faster</v>
      </c>
      <c r="E173">
        <f t="shared" si="4"/>
        <v>3</v>
      </c>
      <c r="F173">
        <f t="shared" si="5"/>
        <v>303</v>
      </c>
      <c r="G173" t="str">
        <f>VLOOKUP(E173,DATA!A:C,3,FALSE)</f>
        <v>挂件</v>
      </c>
      <c r="H173" t="str">
        <f>VLOOKUP(MID(A173,LEN(A173)-2,1)*1,DATA!G:H,2,FALSE)</f>
        <v>PVP</v>
      </c>
      <c r="I173" t="str">
        <f>VLOOKUP(F173,DATA!B:D,3,FALSE)</f>
        <v>挂件</v>
      </c>
    </row>
    <row r="174" spans="1:9" x14ac:dyDescent="0.15">
      <c r="A174">
        <v>30301010</v>
      </c>
      <c r="B174">
        <f>VLOOKUP(A174,'Fox1'!A:F,2,FALSE)</f>
        <v>1</v>
      </c>
      <c r="C174" t="str">
        <f>VLOOKUP(A174,'Fox1'!A:E,5,FALSE)</f>
        <v>Fast Mag-LMG</v>
      </c>
      <c r="D174" t="str">
        <f>VLOOKUP(A174,'Fox1'!A:F,6,FALSE)</f>
        <v>Reload faster</v>
      </c>
      <c r="E174">
        <f t="shared" si="4"/>
        <v>3</v>
      </c>
      <c r="F174">
        <f t="shared" si="5"/>
        <v>303</v>
      </c>
      <c r="G174" t="str">
        <f>VLOOKUP(E174,DATA!A:C,3,FALSE)</f>
        <v>挂件</v>
      </c>
      <c r="H174" t="str">
        <f>VLOOKUP(MID(A174,LEN(A174)-2,1)*1,DATA!G:H,2,FALSE)</f>
        <v>PVP</v>
      </c>
      <c r="I174" t="str">
        <f>VLOOKUP(F174,DATA!B:D,3,FALSE)</f>
        <v>挂件</v>
      </c>
    </row>
    <row r="175" spans="1:9" x14ac:dyDescent="0.15">
      <c r="A175">
        <v>30301011</v>
      </c>
      <c r="B175">
        <f>VLOOKUP(A175,'Fox1'!A:F,2,FALSE)</f>
        <v>4</v>
      </c>
      <c r="C175" t="str">
        <f>VLOOKUP(A175,'Fox1'!A:E,5,FALSE)</f>
        <v>Fast Mag-LMG</v>
      </c>
      <c r="D175" t="str">
        <f>VLOOKUP(A175,'Fox1'!A:F,6,FALSE)</f>
        <v>Reload faster</v>
      </c>
      <c r="E175">
        <f t="shared" si="4"/>
        <v>3</v>
      </c>
      <c r="F175">
        <f t="shared" si="5"/>
        <v>303</v>
      </c>
      <c r="G175" t="str">
        <f>VLOOKUP(E175,DATA!A:C,3,FALSE)</f>
        <v>挂件</v>
      </c>
      <c r="H175" t="str">
        <f>VLOOKUP(MID(A175,LEN(A175)-2,1)*1,DATA!G:H,2,FALSE)</f>
        <v>PVP</v>
      </c>
      <c r="I175" t="str">
        <f>VLOOKUP(F175,DATA!B:D,3,FALSE)</f>
        <v>挂件</v>
      </c>
    </row>
    <row r="176" spans="1:9" x14ac:dyDescent="0.15">
      <c r="A176">
        <v>30301012</v>
      </c>
      <c r="B176">
        <f>VLOOKUP(A176,'Fox1'!A:F,2,FALSE)</f>
        <v>5</v>
      </c>
      <c r="C176" t="str">
        <f>VLOOKUP(A176,'Fox1'!A:E,5,FALSE)</f>
        <v>Fast Mag-LMG</v>
      </c>
      <c r="D176" t="str">
        <f>VLOOKUP(A176,'Fox1'!A:F,6,FALSE)</f>
        <v>Reload faster</v>
      </c>
      <c r="E176">
        <f t="shared" si="4"/>
        <v>3</v>
      </c>
      <c r="F176">
        <f t="shared" si="5"/>
        <v>303</v>
      </c>
      <c r="G176" t="str">
        <f>VLOOKUP(E176,DATA!A:C,3,FALSE)</f>
        <v>挂件</v>
      </c>
      <c r="H176" t="str">
        <f>VLOOKUP(MID(A176,LEN(A176)-2,1)*1,DATA!G:H,2,FALSE)</f>
        <v>PVP</v>
      </c>
      <c r="I176" t="str">
        <f>VLOOKUP(F176,DATA!B:D,3,FALSE)</f>
        <v>挂件</v>
      </c>
    </row>
    <row r="177" spans="1:9" x14ac:dyDescent="0.15">
      <c r="A177">
        <v>30301013</v>
      </c>
      <c r="B177">
        <f>VLOOKUP(A177,'Fox1'!A:F,2,FALSE)</f>
        <v>2</v>
      </c>
      <c r="C177" t="str">
        <f>VLOOKUP(A177,'Fox1'!A:E,5,FALSE)</f>
        <v>Fast Mag-SR</v>
      </c>
      <c r="D177" t="str">
        <f>VLOOKUP(A177,'Fox1'!A:F,6,FALSE)</f>
        <v>Reload faster</v>
      </c>
      <c r="E177">
        <f t="shared" si="4"/>
        <v>3</v>
      </c>
      <c r="F177">
        <f t="shared" si="5"/>
        <v>303</v>
      </c>
      <c r="G177" t="str">
        <f>VLOOKUP(E177,DATA!A:C,3,FALSE)</f>
        <v>挂件</v>
      </c>
      <c r="H177" t="str">
        <f>VLOOKUP(MID(A177,LEN(A177)-2,1)*1,DATA!G:H,2,FALSE)</f>
        <v>PVP</v>
      </c>
      <c r="I177" t="str">
        <f>VLOOKUP(F177,DATA!B:D,3,FALSE)</f>
        <v>挂件</v>
      </c>
    </row>
    <row r="178" spans="1:9" x14ac:dyDescent="0.15">
      <c r="A178">
        <v>30301014</v>
      </c>
      <c r="B178">
        <f>VLOOKUP(A178,'Fox1'!A:F,2,FALSE)</f>
        <v>1</v>
      </c>
      <c r="C178" t="str">
        <f>VLOOKUP(A178,'Fox1'!A:E,5,FALSE)</f>
        <v>Fast Mag-SR</v>
      </c>
      <c r="D178" t="str">
        <f>VLOOKUP(A178,'Fox1'!A:F,6,FALSE)</f>
        <v>Reload faster</v>
      </c>
      <c r="E178">
        <f t="shared" si="4"/>
        <v>3</v>
      </c>
      <c r="F178">
        <f t="shared" si="5"/>
        <v>303</v>
      </c>
      <c r="G178" t="str">
        <f>VLOOKUP(E178,DATA!A:C,3,FALSE)</f>
        <v>挂件</v>
      </c>
      <c r="H178" t="str">
        <f>VLOOKUP(MID(A178,LEN(A178)-2,1)*1,DATA!G:H,2,FALSE)</f>
        <v>PVP</v>
      </c>
      <c r="I178" t="str">
        <f>VLOOKUP(F178,DATA!B:D,3,FALSE)</f>
        <v>挂件</v>
      </c>
    </row>
    <row r="179" spans="1:9" x14ac:dyDescent="0.15">
      <c r="A179">
        <v>30301015</v>
      </c>
      <c r="B179">
        <f>VLOOKUP(A179,'Fox1'!A:F,2,FALSE)</f>
        <v>4</v>
      </c>
      <c r="C179" t="str">
        <f>VLOOKUP(A179,'Fox1'!A:E,5,FALSE)</f>
        <v>Fast Mag-SR</v>
      </c>
      <c r="D179" t="str">
        <f>VLOOKUP(A179,'Fox1'!A:F,6,FALSE)</f>
        <v>Reload faster</v>
      </c>
      <c r="E179">
        <f t="shared" si="4"/>
        <v>3</v>
      </c>
      <c r="F179">
        <f t="shared" si="5"/>
        <v>303</v>
      </c>
      <c r="G179" t="str">
        <f>VLOOKUP(E179,DATA!A:C,3,FALSE)</f>
        <v>挂件</v>
      </c>
      <c r="H179" t="str">
        <f>VLOOKUP(MID(A179,LEN(A179)-2,1)*1,DATA!G:H,2,FALSE)</f>
        <v>PVP</v>
      </c>
      <c r="I179" t="str">
        <f>VLOOKUP(F179,DATA!B:D,3,FALSE)</f>
        <v>挂件</v>
      </c>
    </row>
    <row r="180" spans="1:9" x14ac:dyDescent="0.15">
      <c r="A180">
        <v>30301016</v>
      </c>
      <c r="B180">
        <f>VLOOKUP(A180,'Fox1'!A:F,2,FALSE)</f>
        <v>5</v>
      </c>
      <c r="C180" t="str">
        <f>VLOOKUP(A180,'Fox1'!A:E,5,FALSE)</f>
        <v>Fast Mag-SR</v>
      </c>
      <c r="D180" t="str">
        <f>VLOOKUP(A180,'Fox1'!A:F,6,FALSE)</f>
        <v>Reload faster</v>
      </c>
      <c r="E180">
        <f t="shared" si="4"/>
        <v>3</v>
      </c>
      <c r="F180">
        <f t="shared" si="5"/>
        <v>303</v>
      </c>
      <c r="G180" t="str">
        <f>VLOOKUP(E180,DATA!A:C,3,FALSE)</f>
        <v>挂件</v>
      </c>
      <c r="H180" t="str">
        <f>VLOOKUP(MID(A180,LEN(A180)-2,1)*1,DATA!G:H,2,FALSE)</f>
        <v>PVP</v>
      </c>
      <c r="I180" t="str">
        <f>VLOOKUP(F180,DATA!B:D,3,FALSE)</f>
        <v>挂件</v>
      </c>
    </row>
    <row r="181" spans="1:9" x14ac:dyDescent="0.15">
      <c r="A181">
        <v>30301017</v>
      </c>
      <c r="B181">
        <f>VLOOKUP(A181,'Fox1'!A:F,2,FALSE)</f>
        <v>2</v>
      </c>
      <c r="C181" t="str">
        <f>VLOOKUP(A181,'Fox1'!A:E,5,FALSE)</f>
        <v>Fast Mag-SG</v>
      </c>
      <c r="D181" t="str">
        <f>VLOOKUP(A181,'Fox1'!A:F,6,FALSE)</f>
        <v>Reload faster</v>
      </c>
      <c r="E181">
        <f t="shared" si="4"/>
        <v>3</v>
      </c>
      <c r="F181">
        <f t="shared" si="5"/>
        <v>303</v>
      </c>
      <c r="G181" t="str">
        <f>VLOOKUP(E181,DATA!A:C,3,FALSE)</f>
        <v>挂件</v>
      </c>
      <c r="H181" t="str">
        <f>VLOOKUP(MID(A181,LEN(A181)-2,1)*1,DATA!G:H,2,FALSE)</f>
        <v>PVP</v>
      </c>
      <c r="I181" t="str">
        <f>VLOOKUP(F181,DATA!B:D,3,FALSE)</f>
        <v>挂件</v>
      </c>
    </row>
    <row r="182" spans="1:9" x14ac:dyDescent="0.15">
      <c r="A182">
        <v>30301018</v>
      </c>
      <c r="B182">
        <f>VLOOKUP(A182,'Fox1'!A:F,2,FALSE)</f>
        <v>1</v>
      </c>
      <c r="C182" t="str">
        <f>VLOOKUP(A182,'Fox1'!A:E,5,FALSE)</f>
        <v>Fast Mag-SG</v>
      </c>
      <c r="D182" t="str">
        <f>VLOOKUP(A182,'Fox1'!A:F,6,FALSE)</f>
        <v>Reload faster</v>
      </c>
      <c r="E182">
        <f t="shared" si="4"/>
        <v>3</v>
      </c>
      <c r="F182">
        <f t="shared" si="5"/>
        <v>303</v>
      </c>
      <c r="G182" t="str">
        <f>VLOOKUP(E182,DATA!A:C,3,FALSE)</f>
        <v>挂件</v>
      </c>
      <c r="H182" t="str">
        <f>VLOOKUP(MID(A182,LEN(A182)-2,1)*1,DATA!G:H,2,FALSE)</f>
        <v>PVP</v>
      </c>
      <c r="I182" t="str">
        <f>VLOOKUP(F182,DATA!B:D,3,FALSE)</f>
        <v>挂件</v>
      </c>
    </row>
    <row r="183" spans="1:9" x14ac:dyDescent="0.15">
      <c r="A183">
        <v>30301019</v>
      </c>
      <c r="B183">
        <f>VLOOKUP(A183,'Fox1'!A:F,2,FALSE)</f>
        <v>4</v>
      </c>
      <c r="C183" t="str">
        <f>VLOOKUP(A183,'Fox1'!A:E,5,FALSE)</f>
        <v>Fast Mag-SG</v>
      </c>
      <c r="D183" t="str">
        <f>VLOOKUP(A183,'Fox1'!A:F,6,FALSE)</f>
        <v>Reload faster</v>
      </c>
      <c r="E183">
        <f t="shared" si="4"/>
        <v>3</v>
      </c>
      <c r="F183">
        <f t="shared" si="5"/>
        <v>303</v>
      </c>
      <c r="G183" t="str">
        <f>VLOOKUP(E183,DATA!A:C,3,FALSE)</f>
        <v>挂件</v>
      </c>
      <c r="H183" t="str">
        <f>VLOOKUP(MID(A183,LEN(A183)-2,1)*1,DATA!G:H,2,FALSE)</f>
        <v>PVP</v>
      </c>
      <c r="I183" t="str">
        <f>VLOOKUP(F183,DATA!B:D,3,FALSE)</f>
        <v>挂件</v>
      </c>
    </row>
    <row r="184" spans="1:9" x14ac:dyDescent="0.15">
      <c r="A184">
        <v>30301020</v>
      </c>
      <c r="B184">
        <f>VLOOKUP(A184,'Fox1'!A:F,2,FALSE)</f>
        <v>5</v>
      </c>
      <c r="C184" t="str">
        <f>VLOOKUP(A184,'Fox1'!A:E,5,FALSE)</f>
        <v>Fast Mag-SG</v>
      </c>
      <c r="D184" t="str">
        <f>VLOOKUP(A184,'Fox1'!A:F,6,FALSE)</f>
        <v>Reload faster</v>
      </c>
      <c r="E184">
        <f t="shared" si="4"/>
        <v>3</v>
      </c>
      <c r="F184">
        <f t="shared" si="5"/>
        <v>303</v>
      </c>
      <c r="G184" t="str">
        <f>VLOOKUP(E184,DATA!A:C,3,FALSE)</f>
        <v>挂件</v>
      </c>
      <c r="H184" t="str">
        <f>VLOOKUP(MID(A184,LEN(A184)-2,1)*1,DATA!G:H,2,FALSE)</f>
        <v>PVP</v>
      </c>
      <c r="I184" t="str">
        <f>VLOOKUP(F184,DATA!B:D,3,FALSE)</f>
        <v>挂件</v>
      </c>
    </row>
    <row r="185" spans="1:9" x14ac:dyDescent="0.15">
      <c r="A185">
        <v>30301021</v>
      </c>
      <c r="B185">
        <f>VLOOKUP(A185,'Fox1'!A:F,2,FALSE)</f>
        <v>2</v>
      </c>
      <c r="C185" t="str">
        <f>VLOOKUP(A185,'Fox1'!A:E,5,FALSE)</f>
        <v>Fast Mag-Pistol</v>
      </c>
      <c r="D185" t="str">
        <f>VLOOKUP(A185,'Fox1'!A:F,6,FALSE)</f>
        <v>Reload faster</v>
      </c>
      <c r="E185">
        <f t="shared" si="4"/>
        <v>3</v>
      </c>
      <c r="F185">
        <f t="shared" si="5"/>
        <v>303</v>
      </c>
      <c r="G185" t="str">
        <f>VLOOKUP(E185,DATA!A:C,3,FALSE)</f>
        <v>挂件</v>
      </c>
      <c r="H185" t="str">
        <f>VLOOKUP(MID(A185,LEN(A185)-2,1)*1,DATA!G:H,2,FALSE)</f>
        <v>PVP</v>
      </c>
      <c r="I185" t="str">
        <f>VLOOKUP(F185,DATA!B:D,3,FALSE)</f>
        <v>挂件</v>
      </c>
    </row>
    <row r="186" spans="1:9" x14ac:dyDescent="0.15">
      <c r="A186">
        <v>30301022</v>
      </c>
      <c r="B186">
        <f>VLOOKUP(A186,'Fox1'!A:F,2,FALSE)</f>
        <v>1</v>
      </c>
      <c r="C186" t="str">
        <f>VLOOKUP(A186,'Fox1'!A:E,5,FALSE)</f>
        <v>Fast Mag-Pistol</v>
      </c>
      <c r="D186" t="str">
        <f>VLOOKUP(A186,'Fox1'!A:F,6,FALSE)</f>
        <v>Reload faster</v>
      </c>
      <c r="E186">
        <f t="shared" si="4"/>
        <v>3</v>
      </c>
      <c r="F186">
        <f t="shared" si="5"/>
        <v>303</v>
      </c>
      <c r="G186" t="str">
        <f>VLOOKUP(E186,DATA!A:C,3,FALSE)</f>
        <v>挂件</v>
      </c>
      <c r="H186" t="str">
        <f>VLOOKUP(MID(A186,LEN(A186)-2,1)*1,DATA!G:H,2,FALSE)</f>
        <v>PVP</v>
      </c>
      <c r="I186" t="str">
        <f>VLOOKUP(F186,DATA!B:D,3,FALSE)</f>
        <v>挂件</v>
      </c>
    </row>
    <row r="187" spans="1:9" x14ac:dyDescent="0.15">
      <c r="A187">
        <v>30301023</v>
      </c>
      <c r="B187">
        <f>VLOOKUP(A187,'Fox1'!A:F,2,FALSE)</f>
        <v>4</v>
      </c>
      <c r="C187" t="str">
        <f>VLOOKUP(A187,'Fox1'!A:E,5,FALSE)</f>
        <v>Fast Mag-Pistol</v>
      </c>
      <c r="D187" t="str">
        <f>VLOOKUP(A187,'Fox1'!A:F,6,FALSE)</f>
        <v>Reload faster</v>
      </c>
      <c r="E187">
        <f t="shared" si="4"/>
        <v>3</v>
      </c>
      <c r="F187">
        <f t="shared" si="5"/>
        <v>303</v>
      </c>
      <c r="G187" t="str">
        <f>VLOOKUP(E187,DATA!A:C,3,FALSE)</f>
        <v>挂件</v>
      </c>
      <c r="H187" t="str">
        <f>VLOOKUP(MID(A187,LEN(A187)-2,1)*1,DATA!G:H,2,FALSE)</f>
        <v>PVP</v>
      </c>
      <c r="I187" t="str">
        <f>VLOOKUP(F187,DATA!B:D,3,FALSE)</f>
        <v>挂件</v>
      </c>
    </row>
    <row r="188" spans="1:9" x14ac:dyDescent="0.15">
      <c r="A188">
        <v>30301024</v>
      </c>
      <c r="B188">
        <f>VLOOKUP(A188,'Fox1'!A:F,2,FALSE)</f>
        <v>5</v>
      </c>
      <c r="C188" t="str">
        <f>VLOOKUP(A188,'Fox1'!A:E,5,FALSE)</f>
        <v>Fast Mag-Pistol</v>
      </c>
      <c r="D188" t="str">
        <f>VLOOKUP(A188,'Fox1'!A:F,6,FALSE)</f>
        <v>Reload faster</v>
      </c>
      <c r="E188">
        <f t="shared" si="4"/>
        <v>3</v>
      </c>
      <c r="F188">
        <f t="shared" si="5"/>
        <v>303</v>
      </c>
      <c r="G188" t="str">
        <f>VLOOKUP(E188,DATA!A:C,3,FALSE)</f>
        <v>挂件</v>
      </c>
      <c r="H188" t="str">
        <f>VLOOKUP(MID(A188,LEN(A188)-2,1)*1,DATA!G:H,2,FALSE)</f>
        <v>PVP</v>
      </c>
      <c r="I188" t="str">
        <f>VLOOKUP(F188,DATA!B:D,3,FALSE)</f>
        <v>挂件</v>
      </c>
    </row>
    <row r="189" spans="1:9" x14ac:dyDescent="0.15">
      <c r="A189">
        <v>30401001</v>
      </c>
      <c r="B189">
        <f>VLOOKUP(A189,'Fox1'!A:F,2,FALSE)</f>
        <v>2</v>
      </c>
      <c r="C189" t="str">
        <f>VLOOKUP(A189,'Fox1'!A:E,5,FALSE)</f>
        <v>Laser Sight-AR</v>
      </c>
      <c r="D189" t="str">
        <f>VLOOKUP(A189,'Fox1'!A:F,6,FALSE)</f>
        <v>Increases fire accuracy</v>
      </c>
      <c r="E189">
        <f t="shared" si="4"/>
        <v>3</v>
      </c>
      <c r="F189">
        <f t="shared" si="5"/>
        <v>304</v>
      </c>
      <c r="G189" t="str">
        <f>VLOOKUP(E189,DATA!A:C,3,FALSE)</f>
        <v>挂件</v>
      </c>
      <c r="H189" t="str">
        <f>VLOOKUP(MID(A189,LEN(A189)-2,1)*1,DATA!G:H,2,FALSE)</f>
        <v>PVP</v>
      </c>
      <c r="I189" t="str">
        <f>VLOOKUP(F189,DATA!B:D,3,FALSE)</f>
        <v>挂件</v>
      </c>
    </row>
    <row r="190" spans="1:9" x14ac:dyDescent="0.15">
      <c r="A190">
        <v>30401002</v>
      </c>
      <c r="B190">
        <f>VLOOKUP(A190,'Fox1'!A:F,2,FALSE)</f>
        <v>1</v>
      </c>
      <c r="C190" t="str">
        <f>VLOOKUP(A190,'Fox1'!A:E,5,FALSE)</f>
        <v>Laser Sight-AR</v>
      </c>
      <c r="D190" t="str">
        <f>VLOOKUP(A190,'Fox1'!A:F,6,FALSE)</f>
        <v>Increases fire accuracy</v>
      </c>
      <c r="E190">
        <f t="shared" si="4"/>
        <v>3</v>
      </c>
      <c r="F190">
        <f t="shared" si="5"/>
        <v>304</v>
      </c>
      <c r="G190" t="str">
        <f>VLOOKUP(E190,DATA!A:C,3,FALSE)</f>
        <v>挂件</v>
      </c>
      <c r="H190" t="str">
        <f>VLOOKUP(MID(A190,LEN(A190)-2,1)*1,DATA!G:H,2,FALSE)</f>
        <v>PVP</v>
      </c>
      <c r="I190" t="str">
        <f>VLOOKUP(F190,DATA!B:D,3,FALSE)</f>
        <v>挂件</v>
      </c>
    </row>
    <row r="191" spans="1:9" x14ac:dyDescent="0.15">
      <c r="A191">
        <v>30401003</v>
      </c>
      <c r="B191">
        <f>VLOOKUP(A191,'Fox1'!A:F,2,FALSE)</f>
        <v>4</v>
      </c>
      <c r="C191" t="str">
        <f>VLOOKUP(A191,'Fox1'!A:E,5,FALSE)</f>
        <v>Laser Sight-AR</v>
      </c>
      <c r="D191" t="str">
        <f>VLOOKUP(A191,'Fox1'!A:F,6,FALSE)</f>
        <v>Increases fire accuracy</v>
      </c>
      <c r="E191">
        <f t="shared" si="4"/>
        <v>3</v>
      </c>
      <c r="F191">
        <f t="shared" si="5"/>
        <v>304</v>
      </c>
      <c r="G191" t="str">
        <f>VLOOKUP(E191,DATA!A:C,3,FALSE)</f>
        <v>挂件</v>
      </c>
      <c r="H191" t="str">
        <f>VLOOKUP(MID(A191,LEN(A191)-2,1)*1,DATA!G:H,2,FALSE)</f>
        <v>PVP</v>
      </c>
      <c r="I191" t="str">
        <f>VLOOKUP(F191,DATA!B:D,3,FALSE)</f>
        <v>挂件</v>
      </c>
    </row>
    <row r="192" spans="1:9" x14ac:dyDescent="0.15">
      <c r="A192">
        <v>30401004</v>
      </c>
      <c r="B192">
        <f>VLOOKUP(A192,'Fox1'!A:F,2,FALSE)</f>
        <v>5</v>
      </c>
      <c r="C192" t="str">
        <f>VLOOKUP(A192,'Fox1'!A:E,5,FALSE)</f>
        <v>Laser Sight-AR</v>
      </c>
      <c r="D192" t="str">
        <f>VLOOKUP(A192,'Fox1'!A:F,6,FALSE)</f>
        <v>Increases fire accuracy</v>
      </c>
      <c r="E192">
        <f t="shared" si="4"/>
        <v>3</v>
      </c>
      <c r="F192">
        <f t="shared" si="5"/>
        <v>304</v>
      </c>
      <c r="G192" t="str">
        <f>VLOOKUP(E192,DATA!A:C,3,FALSE)</f>
        <v>挂件</v>
      </c>
      <c r="H192" t="str">
        <f>VLOOKUP(MID(A192,LEN(A192)-2,1)*1,DATA!G:H,2,FALSE)</f>
        <v>PVP</v>
      </c>
      <c r="I192" t="str">
        <f>VLOOKUP(F192,DATA!B:D,3,FALSE)</f>
        <v>挂件</v>
      </c>
    </row>
    <row r="193" spans="1:9" x14ac:dyDescent="0.15">
      <c r="A193">
        <v>30401005</v>
      </c>
      <c r="B193">
        <f>VLOOKUP(A193,'Fox1'!A:F,2,FALSE)</f>
        <v>2</v>
      </c>
      <c r="C193" t="str">
        <f>VLOOKUP(A193,'Fox1'!A:E,5,FALSE)</f>
        <v>Laser Sight-SMG</v>
      </c>
      <c r="D193" t="str">
        <f>VLOOKUP(A193,'Fox1'!A:F,6,FALSE)</f>
        <v>Increases fire accuracy</v>
      </c>
      <c r="E193">
        <f t="shared" si="4"/>
        <v>3</v>
      </c>
      <c r="F193">
        <f t="shared" si="5"/>
        <v>304</v>
      </c>
      <c r="G193" t="str">
        <f>VLOOKUP(E193,DATA!A:C,3,FALSE)</f>
        <v>挂件</v>
      </c>
      <c r="H193" t="str">
        <f>VLOOKUP(MID(A193,LEN(A193)-2,1)*1,DATA!G:H,2,FALSE)</f>
        <v>PVP</v>
      </c>
      <c r="I193" t="str">
        <f>VLOOKUP(F193,DATA!B:D,3,FALSE)</f>
        <v>挂件</v>
      </c>
    </row>
    <row r="194" spans="1:9" x14ac:dyDescent="0.15">
      <c r="A194">
        <v>30401006</v>
      </c>
      <c r="B194">
        <f>VLOOKUP(A194,'Fox1'!A:F,2,FALSE)</f>
        <v>1</v>
      </c>
      <c r="C194" t="str">
        <f>VLOOKUP(A194,'Fox1'!A:E,5,FALSE)</f>
        <v>Laser Sight-SMG</v>
      </c>
      <c r="D194" t="str">
        <f>VLOOKUP(A194,'Fox1'!A:F,6,FALSE)</f>
        <v>Increases fire accuracy</v>
      </c>
      <c r="E194">
        <f t="shared" ref="E194:E257" si="6">LEFT(A194,LEN(A194)-7)*1</f>
        <v>3</v>
      </c>
      <c r="F194">
        <f t="shared" ref="F194:F257" si="7">LEFT(A194,LEN(A194)-5)*1</f>
        <v>304</v>
      </c>
      <c r="G194" t="str">
        <f>VLOOKUP(E194,DATA!A:C,3,FALSE)</f>
        <v>挂件</v>
      </c>
      <c r="H194" t="str">
        <f>VLOOKUP(MID(A194,LEN(A194)-2,1)*1,DATA!G:H,2,FALSE)</f>
        <v>PVP</v>
      </c>
      <c r="I194" t="str">
        <f>VLOOKUP(F194,DATA!B:D,3,FALSE)</f>
        <v>挂件</v>
      </c>
    </row>
    <row r="195" spans="1:9" x14ac:dyDescent="0.15">
      <c r="A195">
        <v>30401007</v>
      </c>
      <c r="B195">
        <f>VLOOKUP(A195,'Fox1'!A:F,2,FALSE)</f>
        <v>4</v>
      </c>
      <c r="C195" t="str">
        <f>VLOOKUP(A195,'Fox1'!A:E,5,FALSE)</f>
        <v>Laser Sight-SMG</v>
      </c>
      <c r="D195" t="str">
        <f>VLOOKUP(A195,'Fox1'!A:F,6,FALSE)</f>
        <v>Increases fire accuracy</v>
      </c>
      <c r="E195">
        <f t="shared" si="6"/>
        <v>3</v>
      </c>
      <c r="F195">
        <f t="shared" si="7"/>
        <v>304</v>
      </c>
      <c r="G195" t="str">
        <f>VLOOKUP(E195,DATA!A:C,3,FALSE)</f>
        <v>挂件</v>
      </c>
      <c r="H195" t="str">
        <f>VLOOKUP(MID(A195,LEN(A195)-2,1)*1,DATA!G:H,2,FALSE)</f>
        <v>PVP</v>
      </c>
      <c r="I195" t="str">
        <f>VLOOKUP(F195,DATA!B:D,3,FALSE)</f>
        <v>挂件</v>
      </c>
    </row>
    <row r="196" spans="1:9" x14ac:dyDescent="0.15">
      <c r="A196">
        <v>30401008</v>
      </c>
      <c r="B196">
        <f>VLOOKUP(A196,'Fox1'!A:F,2,FALSE)</f>
        <v>5</v>
      </c>
      <c r="C196" t="str">
        <f>VLOOKUP(A196,'Fox1'!A:E,5,FALSE)</f>
        <v>Laser Sight-SMG</v>
      </c>
      <c r="D196" t="str">
        <f>VLOOKUP(A196,'Fox1'!A:F,6,FALSE)</f>
        <v>Increases fire accuracy</v>
      </c>
      <c r="E196">
        <f t="shared" si="6"/>
        <v>3</v>
      </c>
      <c r="F196">
        <f t="shared" si="7"/>
        <v>304</v>
      </c>
      <c r="G196" t="str">
        <f>VLOOKUP(E196,DATA!A:C,3,FALSE)</f>
        <v>挂件</v>
      </c>
      <c r="H196" t="str">
        <f>VLOOKUP(MID(A196,LEN(A196)-2,1)*1,DATA!G:H,2,FALSE)</f>
        <v>PVP</v>
      </c>
      <c r="I196" t="str">
        <f>VLOOKUP(F196,DATA!B:D,3,FALSE)</f>
        <v>挂件</v>
      </c>
    </row>
    <row r="197" spans="1:9" x14ac:dyDescent="0.15">
      <c r="A197">
        <v>30401009</v>
      </c>
      <c r="B197">
        <f>VLOOKUP(A197,'Fox1'!A:F,2,FALSE)</f>
        <v>2</v>
      </c>
      <c r="C197" t="str">
        <f>VLOOKUP(A197,'Fox1'!A:E,5,FALSE)</f>
        <v>Laser Sight-LMG</v>
      </c>
      <c r="D197" t="str">
        <f>VLOOKUP(A197,'Fox1'!A:F,6,FALSE)</f>
        <v>Increases fire accuracy</v>
      </c>
      <c r="E197">
        <f t="shared" si="6"/>
        <v>3</v>
      </c>
      <c r="F197">
        <f t="shared" si="7"/>
        <v>304</v>
      </c>
      <c r="G197" t="str">
        <f>VLOOKUP(E197,DATA!A:C,3,FALSE)</f>
        <v>挂件</v>
      </c>
      <c r="H197" t="str">
        <f>VLOOKUP(MID(A197,LEN(A197)-2,1)*1,DATA!G:H,2,FALSE)</f>
        <v>PVP</v>
      </c>
      <c r="I197" t="str">
        <f>VLOOKUP(F197,DATA!B:D,3,FALSE)</f>
        <v>挂件</v>
      </c>
    </row>
    <row r="198" spans="1:9" x14ac:dyDescent="0.15">
      <c r="A198">
        <v>30401010</v>
      </c>
      <c r="B198">
        <f>VLOOKUP(A198,'Fox1'!A:F,2,FALSE)</f>
        <v>1</v>
      </c>
      <c r="C198" t="str">
        <f>VLOOKUP(A198,'Fox1'!A:E,5,FALSE)</f>
        <v>Laser Sight-LMG</v>
      </c>
      <c r="D198" t="str">
        <f>VLOOKUP(A198,'Fox1'!A:F,6,FALSE)</f>
        <v>Increases fire accuracy</v>
      </c>
      <c r="E198">
        <f t="shared" si="6"/>
        <v>3</v>
      </c>
      <c r="F198">
        <f t="shared" si="7"/>
        <v>304</v>
      </c>
      <c r="G198" t="str">
        <f>VLOOKUP(E198,DATA!A:C,3,FALSE)</f>
        <v>挂件</v>
      </c>
      <c r="H198" t="str">
        <f>VLOOKUP(MID(A198,LEN(A198)-2,1)*1,DATA!G:H,2,FALSE)</f>
        <v>PVP</v>
      </c>
      <c r="I198" t="str">
        <f>VLOOKUP(F198,DATA!B:D,3,FALSE)</f>
        <v>挂件</v>
      </c>
    </row>
    <row r="199" spans="1:9" x14ac:dyDescent="0.15">
      <c r="A199">
        <v>30401011</v>
      </c>
      <c r="B199">
        <f>VLOOKUP(A199,'Fox1'!A:F,2,FALSE)</f>
        <v>4</v>
      </c>
      <c r="C199" t="str">
        <f>VLOOKUP(A199,'Fox1'!A:E,5,FALSE)</f>
        <v>Laser Sight-LMG</v>
      </c>
      <c r="D199" t="str">
        <f>VLOOKUP(A199,'Fox1'!A:F,6,FALSE)</f>
        <v>Increases fire accuracy</v>
      </c>
      <c r="E199">
        <f t="shared" si="6"/>
        <v>3</v>
      </c>
      <c r="F199">
        <f t="shared" si="7"/>
        <v>304</v>
      </c>
      <c r="G199" t="str">
        <f>VLOOKUP(E199,DATA!A:C,3,FALSE)</f>
        <v>挂件</v>
      </c>
      <c r="H199" t="str">
        <f>VLOOKUP(MID(A199,LEN(A199)-2,1)*1,DATA!G:H,2,FALSE)</f>
        <v>PVP</v>
      </c>
      <c r="I199" t="str">
        <f>VLOOKUP(F199,DATA!B:D,3,FALSE)</f>
        <v>挂件</v>
      </c>
    </row>
    <row r="200" spans="1:9" x14ac:dyDescent="0.15">
      <c r="A200">
        <v>30401012</v>
      </c>
      <c r="B200">
        <f>VLOOKUP(A200,'Fox1'!A:F,2,FALSE)</f>
        <v>5</v>
      </c>
      <c r="C200" t="str">
        <f>VLOOKUP(A200,'Fox1'!A:E,5,FALSE)</f>
        <v>Laser Sight-LMG</v>
      </c>
      <c r="D200" t="str">
        <f>VLOOKUP(A200,'Fox1'!A:F,6,FALSE)</f>
        <v>Increases fire accuracy</v>
      </c>
      <c r="E200">
        <f t="shared" si="6"/>
        <v>3</v>
      </c>
      <c r="F200">
        <f t="shared" si="7"/>
        <v>304</v>
      </c>
      <c r="G200" t="str">
        <f>VLOOKUP(E200,DATA!A:C,3,FALSE)</f>
        <v>挂件</v>
      </c>
      <c r="H200" t="str">
        <f>VLOOKUP(MID(A200,LEN(A200)-2,1)*1,DATA!G:H,2,FALSE)</f>
        <v>PVP</v>
      </c>
      <c r="I200" t="str">
        <f>VLOOKUP(F200,DATA!B:D,3,FALSE)</f>
        <v>挂件</v>
      </c>
    </row>
    <row r="201" spans="1:9" x14ac:dyDescent="0.15">
      <c r="A201">
        <v>30401013</v>
      </c>
      <c r="B201" t="e">
        <f>VLOOKUP(A201,'Fox1'!A:F,2,FALSE)</f>
        <v>#N/A</v>
      </c>
      <c r="C201" t="e">
        <f>VLOOKUP(A201,'Fox1'!A:E,5,FALSE)</f>
        <v>#N/A</v>
      </c>
      <c r="D201" t="e">
        <f>VLOOKUP(A201,'Fox1'!A:F,6,FALSE)</f>
        <v>#N/A</v>
      </c>
      <c r="E201">
        <f t="shared" si="6"/>
        <v>3</v>
      </c>
      <c r="F201">
        <f t="shared" si="7"/>
        <v>304</v>
      </c>
      <c r="G201" t="str">
        <f>VLOOKUP(E201,DATA!A:C,3,FALSE)</f>
        <v>挂件</v>
      </c>
      <c r="H201" t="str">
        <f>VLOOKUP(MID(A201,LEN(A201)-2,1)*1,DATA!G:H,2,FALSE)</f>
        <v>PVP</v>
      </c>
      <c r="I201" t="str">
        <f>VLOOKUP(F201,DATA!B:D,3,FALSE)</f>
        <v>挂件</v>
      </c>
    </row>
    <row r="202" spans="1:9" x14ac:dyDescent="0.15">
      <c r="A202">
        <v>30401014</v>
      </c>
      <c r="B202" t="e">
        <f>VLOOKUP(A202,'Fox1'!A:F,2,FALSE)</f>
        <v>#N/A</v>
      </c>
      <c r="C202" t="e">
        <f>VLOOKUP(A202,'Fox1'!A:E,5,FALSE)</f>
        <v>#N/A</v>
      </c>
      <c r="D202" t="e">
        <f>VLOOKUP(A202,'Fox1'!A:F,6,FALSE)</f>
        <v>#N/A</v>
      </c>
      <c r="E202">
        <f t="shared" si="6"/>
        <v>3</v>
      </c>
      <c r="F202">
        <f t="shared" si="7"/>
        <v>304</v>
      </c>
      <c r="G202" t="str">
        <f>VLOOKUP(E202,DATA!A:C,3,FALSE)</f>
        <v>挂件</v>
      </c>
      <c r="H202" t="str">
        <f>VLOOKUP(MID(A202,LEN(A202)-2,1)*1,DATA!G:H,2,FALSE)</f>
        <v>PVP</v>
      </c>
      <c r="I202" t="str">
        <f>VLOOKUP(F202,DATA!B:D,3,FALSE)</f>
        <v>挂件</v>
      </c>
    </row>
    <row r="203" spans="1:9" x14ac:dyDescent="0.15">
      <c r="A203">
        <v>30401015</v>
      </c>
      <c r="B203" t="e">
        <f>VLOOKUP(A203,'Fox1'!A:F,2,FALSE)</f>
        <v>#N/A</v>
      </c>
      <c r="C203" t="e">
        <f>VLOOKUP(A203,'Fox1'!A:E,5,FALSE)</f>
        <v>#N/A</v>
      </c>
      <c r="D203" t="e">
        <f>VLOOKUP(A203,'Fox1'!A:F,6,FALSE)</f>
        <v>#N/A</v>
      </c>
      <c r="E203">
        <f t="shared" si="6"/>
        <v>3</v>
      </c>
      <c r="F203">
        <f t="shared" si="7"/>
        <v>304</v>
      </c>
      <c r="G203" t="str">
        <f>VLOOKUP(E203,DATA!A:C,3,FALSE)</f>
        <v>挂件</v>
      </c>
      <c r="H203" t="str">
        <f>VLOOKUP(MID(A203,LEN(A203)-2,1)*1,DATA!G:H,2,FALSE)</f>
        <v>PVP</v>
      </c>
      <c r="I203" t="str">
        <f>VLOOKUP(F203,DATA!B:D,3,FALSE)</f>
        <v>挂件</v>
      </c>
    </row>
    <row r="204" spans="1:9" x14ac:dyDescent="0.15">
      <c r="A204">
        <v>30401016</v>
      </c>
      <c r="B204" t="e">
        <f>VLOOKUP(A204,'Fox1'!A:F,2,FALSE)</f>
        <v>#N/A</v>
      </c>
      <c r="C204" t="e">
        <f>VLOOKUP(A204,'Fox1'!A:E,5,FALSE)</f>
        <v>#N/A</v>
      </c>
      <c r="D204" t="e">
        <f>VLOOKUP(A204,'Fox1'!A:F,6,FALSE)</f>
        <v>#N/A</v>
      </c>
      <c r="E204">
        <f t="shared" si="6"/>
        <v>3</v>
      </c>
      <c r="F204">
        <f t="shared" si="7"/>
        <v>304</v>
      </c>
      <c r="G204" t="str">
        <f>VLOOKUP(E204,DATA!A:C,3,FALSE)</f>
        <v>挂件</v>
      </c>
      <c r="H204" t="str">
        <f>VLOOKUP(MID(A204,LEN(A204)-2,1)*1,DATA!G:H,2,FALSE)</f>
        <v>PVP</v>
      </c>
      <c r="I204" t="str">
        <f>VLOOKUP(F204,DATA!B:D,3,FALSE)</f>
        <v>挂件</v>
      </c>
    </row>
    <row r="205" spans="1:9" x14ac:dyDescent="0.15">
      <c r="A205">
        <v>30401017</v>
      </c>
      <c r="B205">
        <f>VLOOKUP(A205,'Fox1'!A:F,2,FALSE)</f>
        <v>2</v>
      </c>
      <c r="C205" t="str">
        <f>VLOOKUP(A205,'Fox1'!A:E,5,FALSE)</f>
        <v>Laser Sight-SG</v>
      </c>
      <c r="D205" t="str">
        <f>VLOOKUP(A205,'Fox1'!A:F,6,FALSE)</f>
        <v>Increases fire accuracy</v>
      </c>
      <c r="E205">
        <f t="shared" si="6"/>
        <v>3</v>
      </c>
      <c r="F205">
        <f t="shared" si="7"/>
        <v>304</v>
      </c>
      <c r="G205" t="str">
        <f>VLOOKUP(E205,DATA!A:C,3,FALSE)</f>
        <v>挂件</v>
      </c>
      <c r="H205" t="str">
        <f>VLOOKUP(MID(A205,LEN(A205)-2,1)*1,DATA!G:H,2,FALSE)</f>
        <v>PVP</v>
      </c>
      <c r="I205" t="str">
        <f>VLOOKUP(F205,DATA!B:D,3,FALSE)</f>
        <v>挂件</v>
      </c>
    </row>
    <row r="206" spans="1:9" x14ac:dyDescent="0.15">
      <c r="A206">
        <v>30401018</v>
      </c>
      <c r="B206">
        <f>VLOOKUP(A206,'Fox1'!A:F,2,FALSE)</f>
        <v>1</v>
      </c>
      <c r="C206" t="str">
        <f>VLOOKUP(A206,'Fox1'!A:E,5,FALSE)</f>
        <v>Laser Sight-SG</v>
      </c>
      <c r="D206" t="str">
        <f>VLOOKUP(A206,'Fox1'!A:F,6,FALSE)</f>
        <v>Increases fire accuracy</v>
      </c>
      <c r="E206">
        <f t="shared" si="6"/>
        <v>3</v>
      </c>
      <c r="F206">
        <f t="shared" si="7"/>
        <v>304</v>
      </c>
      <c r="G206" t="str">
        <f>VLOOKUP(E206,DATA!A:C,3,FALSE)</f>
        <v>挂件</v>
      </c>
      <c r="H206" t="str">
        <f>VLOOKUP(MID(A206,LEN(A206)-2,1)*1,DATA!G:H,2,FALSE)</f>
        <v>PVP</v>
      </c>
      <c r="I206" t="str">
        <f>VLOOKUP(F206,DATA!B:D,3,FALSE)</f>
        <v>挂件</v>
      </c>
    </row>
    <row r="207" spans="1:9" x14ac:dyDescent="0.15">
      <c r="A207">
        <v>30401019</v>
      </c>
      <c r="B207">
        <f>VLOOKUP(A207,'Fox1'!A:F,2,FALSE)</f>
        <v>4</v>
      </c>
      <c r="C207" t="str">
        <f>VLOOKUP(A207,'Fox1'!A:E,5,FALSE)</f>
        <v>Laser Sight-SG</v>
      </c>
      <c r="D207" t="str">
        <f>VLOOKUP(A207,'Fox1'!A:F,6,FALSE)</f>
        <v>Increases fire accuracy</v>
      </c>
      <c r="E207">
        <f t="shared" si="6"/>
        <v>3</v>
      </c>
      <c r="F207">
        <f t="shared" si="7"/>
        <v>304</v>
      </c>
      <c r="G207" t="str">
        <f>VLOOKUP(E207,DATA!A:C,3,FALSE)</f>
        <v>挂件</v>
      </c>
      <c r="H207" t="str">
        <f>VLOOKUP(MID(A207,LEN(A207)-2,1)*1,DATA!G:H,2,FALSE)</f>
        <v>PVP</v>
      </c>
      <c r="I207" t="str">
        <f>VLOOKUP(F207,DATA!B:D,3,FALSE)</f>
        <v>挂件</v>
      </c>
    </row>
    <row r="208" spans="1:9" x14ac:dyDescent="0.15">
      <c r="A208">
        <v>30401020</v>
      </c>
      <c r="B208">
        <f>VLOOKUP(A208,'Fox1'!A:F,2,FALSE)</f>
        <v>5</v>
      </c>
      <c r="C208" t="str">
        <f>VLOOKUP(A208,'Fox1'!A:E,5,FALSE)</f>
        <v>Laser Sight-SG</v>
      </c>
      <c r="D208" t="str">
        <f>VLOOKUP(A208,'Fox1'!A:F,6,FALSE)</f>
        <v>Increases fire accuracy</v>
      </c>
      <c r="E208">
        <f t="shared" si="6"/>
        <v>3</v>
      </c>
      <c r="F208">
        <f t="shared" si="7"/>
        <v>304</v>
      </c>
      <c r="G208" t="str">
        <f>VLOOKUP(E208,DATA!A:C,3,FALSE)</f>
        <v>挂件</v>
      </c>
      <c r="H208" t="str">
        <f>VLOOKUP(MID(A208,LEN(A208)-2,1)*1,DATA!G:H,2,FALSE)</f>
        <v>PVP</v>
      </c>
      <c r="I208" t="str">
        <f>VLOOKUP(F208,DATA!B:D,3,FALSE)</f>
        <v>挂件</v>
      </c>
    </row>
    <row r="209" spans="1:9" x14ac:dyDescent="0.15">
      <c r="A209">
        <v>30401021</v>
      </c>
      <c r="B209">
        <f>VLOOKUP(A209,'Fox1'!A:F,2,FALSE)</f>
        <v>2</v>
      </c>
      <c r="C209" t="str">
        <f>VLOOKUP(A209,'Fox1'!A:E,5,FALSE)</f>
        <v>Laser Sight-Pistol</v>
      </c>
      <c r="D209" t="str">
        <f>VLOOKUP(A209,'Fox1'!A:F,6,FALSE)</f>
        <v>Increases fire accuracy</v>
      </c>
      <c r="E209">
        <f t="shared" si="6"/>
        <v>3</v>
      </c>
      <c r="F209">
        <f t="shared" si="7"/>
        <v>304</v>
      </c>
      <c r="G209" t="str">
        <f>VLOOKUP(E209,DATA!A:C,3,FALSE)</f>
        <v>挂件</v>
      </c>
      <c r="H209" t="str">
        <f>VLOOKUP(MID(A209,LEN(A209)-2,1)*1,DATA!G:H,2,FALSE)</f>
        <v>PVP</v>
      </c>
      <c r="I209" t="str">
        <f>VLOOKUP(F209,DATA!B:D,3,FALSE)</f>
        <v>挂件</v>
      </c>
    </row>
    <row r="210" spans="1:9" x14ac:dyDescent="0.15">
      <c r="A210">
        <v>30401022</v>
      </c>
      <c r="B210">
        <f>VLOOKUP(A210,'Fox1'!A:F,2,FALSE)</f>
        <v>1</v>
      </c>
      <c r="C210" t="str">
        <f>VLOOKUP(A210,'Fox1'!A:E,5,FALSE)</f>
        <v>Laser Sight-Pistol</v>
      </c>
      <c r="D210" t="str">
        <f>VLOOKUP(A210,'Fox1'!A:F,6,FALSE)</f>
        <v>Increases fire accuracy</v>
      </c>
      <c r="E210">
        <f t="shared" si="6"/>
        <v>3</v>
      </c>
      <c r="F210">
        <f t="shared" si="7"/>
        <v>304</v>
      </c>
      <c r="G210" t="str">
        <f>VLOOKUP(E210,DATA!A:C,3,FALSE)</f>
        <v>挂件</v>
      </c>
      <c r="H210" t="str">
        <f>VLOOKUP(MID(A210,LEN(A210)-2,1)*1,DATA!G:H,2,FALSE)</f>
        <v>PVP</v>
      </c>
      <c r="I210" t="str">
        <f>VLOOKUP(F210,DATA!B:D,3,FALSE)</f>
        <v>挂件</v>
      </c>
    </row>
    <row r="211" spans="1:9" x14ac:dyDescent="0.15">
      <c r="A211">
        <v>30401023</v>
      </c>
      <c r="B211">
        <f>VLOOKUP(A211,'Fox1'!A:F,2,FALSE)</f>
        <v>4</v>
      </c>
      <c r="C211" t="str">
        <f>VLOOKUP(A211,'Fox1'!A:E,5,FALSE)</f>
        <v>Laser Sight-Pistol</v>
      </c>
      <c r="D211" t="str">
        <f>VLOOKUP(A211,'Fox1'!A:F,6,FALSE)</f>
        <v>Increases fire accuracy</v>
      </c>
      <c r="E211">
        <f t="shared" si="6"/>
        <v>3</v>
      </c>
      <c r="F211">
        <f t="shared" si="7"/>
        <v>304</v>
      </c>
      <c r="G211" t="str">
        <f>VLOOKUP(E211,DATA!A:C,3,FALSE)</f>
        <v>挂件</v>
      </c>
      <c r="H211" t="str">
        <f>VLOOKUP(MID(A211,LEN(A211)-2,1)*1,DATA!G:H,2,FALSE)</f>
        <v>PVP</v>
      </c>
      <c r="I211" t="str">
        <f>VLOOKUP(F211,DATA!B:D,3,FALSE)</f>
        <v>挂件</v>
      </c>
    </row>
    <row r="212" spans="1:9" x14ac:dyDescent="0.15">
      <c r="A212">
        <v>30401024</v>
      </c>
      <c r="B212">
        <f>VLOOKUP(A212,'Fox1'!A:F,2,FALSE)</f>
        <v>5</v>
      </c>
      <c r="C212" t="str">
        <f>VLOOKUP(A212,'Fox1'!A:E,5,FALSE)</f>
        <v>Laser Sight-Pistol</v>
      </c>
      <c r="D212" t="str">
        <f>VLOOKUP(A212,'Fox1'!A:F,6,FALSE)</f>
        <v>Increases fire accuracy</v>
      </c>
      <c r="E212">
        <f t="shared" si="6"/>
        <v>3</v>
      </c>
      <c r="F212">
        <f t="shared" si="7"/>
        <v>304</v>
      </c>
      <c r="G212" t="str">
        <f>VLOOKUP(E212,DATA!A:C,3,FALSE)</f>
        <v>挂件</v>
      </c>
      <c r="H212" t="str">
        <f>VLOOKUP(MID(A212,LEN(A212)-2,1)*1,DATA!G:H,2,FALSE)</f>
        <v>PVP</v>
      </c>
      <c r="I212" t="str">
        <f>VLOOKUP(F212,DATA!B:D,3,FALSE)</f>
        <v>挂件</v>
      </c>
    </row>
    <row r="213" spans="1:9" x14ac:dyDescent="0.15">
      <c r="A213">
        <v>30500001</v>
      </c>
      <c r="B213">
        <f>VLOOKUP(A213,'Fox1'!A:F,2,FALSE)</f>
        <v>2</v>
      </c>
      <c r="C213" t="str">
        <f>VLOOKUP(A213,'Fox1'!A:E,5,FALSE)</f>
        <v>Stock-AR</v>
      </c>
      <c r="D213" t="str">
        <f>VLOOKUP(A213,'Fox1'!A:F,6,FALSE)</f>
        <v>Move faster while aiming down the sight.</v>
      </c>
      <c r="E213">
        <f t="shared" si="6"/>
        <v>3</v>
      </c>
      <c r="F213">
        <f t="shared" si="7"/>
        <v>305</v>
      </c>
      <c r="G213" t="str">
        <f>VLOOKUP(E213,DATA!A:C,3,FALSE)</f>
        <v>挂件</v>
      </c>
      <c r="H213" t="str">
        <f>VLOOKUP(MID(A213,LEN(A213)-2,1)*1,DATA!G:H,2,FALSE)</f>
        <v>PVP</v>
      </c>
      <c r="I213" t="str">
        <f>VLOOKUP(F213,DATA!B:D,3,FALSE)</f>
        <v>挂件</v>
      </c>
    </row>
    <row r="214" spans="1:9" x14ac:dyDescent="0.15">
      <c r="A214">
        <v>30500002</v>
      </c>
      <c r="B214">
        <f>VLOOKUP(A214,'Fox1'!A:F,2,FALSE)</f>
        <v>1</v>
      </c>
      <c r="C214" t="str">
        <f>VLOOKUP(A214,'Fox1'!A:E,5,FALSE)</f>
        <v>Stock-AR</v>
      </c>
      <c r="D214" t="str">
        <f>VLOOKUP(A214,'Fox1'!A:F,6,FALSE)</f>
        <v>Move faster while aiming down the sight.</v>
      </c>
      <c r="E214">
        <f t="shared" si="6"/>
        <v>3</v>
      </c>
      <c r="F214">
        <f t="shared" si="7"/>
        <v>305</v>
      </c>
      <c r="G214" t="str">
        <f>VLOOKUP(E214,DATA!A:C,3,FALSE)</f>
        <v>挂件</v>
      </c>
      <c r="H214" t="str">
        <f>VLOOKUP(MID(A214,LEN(A214)-2,1)*1,DATA!G:H,2,FALSE)</f>
        <v>PVP</v>
      </c>
      <c r="I214" t="str">
        <f>VLOOKUP(F214,DATA!B:D,3,FALSE)</f>
        <v>挂件</v>
      </c>
    </row>
    <row r="215" spans="1:9" x14ac:dyDescent="0.15">
      <c r="A215">
        <v>30500003</v>
      </c>
      <c r="B215">
        <f>VLOOKUP(A215,'Fox1'!A:F,2,FALSE)</f>
        <v>4</v>
      </c>
      <c r="C215" t="str">
        <f>VLOOKUP(A215,'Fox1'!A:E,5,FALSE)</f>
        <v>Stock-AR</v>
      </c>
      <c r="D215" t="str">
        <f>VLOOKUP(A215,'Fox1'!A:F,6,FALSE)</f>
        <v>Move faster while aiming down the sight.</v>
      </c>
      <c r="E215">
        <f t="shared" si="6"/>
        <v>3</v>
      </c>
      <c r="F215">
        <f t="shared" si="7"/>
        <v>305</v>
      </c>
      <c r="G215" t="str">
        <f>VLOOKUP(E215,DATA!A:C,3,FALSE)</f>
        <v>挂件</v>
      </c>
      <c r="H215" t="str">
        <f>VLOOKUP(MID(A215,LEN(A215)-2,1)*1,DATA!G:H,2,FALSE)</f>
        <v>PVP</v>
      </c>
      <c r="I215" t="str">
        <f>VLOOKUP(F215,DATA!B:D,3,FALSE)</f>
        <v>挂件</v>
      </c>
    </row>
    <row r="216" spans="1:9" x14ac:dyDescent="0.15">
      <c r="A216">
        <v>30500004</v>
      </c>
      <c r="B216">
        <f>VLOOKUP(A216,'Fox1'!A:F,2,FALSE)</f>
        <v>5</v>
      </c>
      <c r="C216" t="str">
        <f>VLOOKUP(A216,'Fox1'!A:E,5,FALSE)</f>
        <v>Stock-AR</v>
      </c>
      <c r="D216" t="str">
        <f>VLOOKUP(A216,'Fox1'!A:F,6,FALSE)</f>
        <v>Move faster while aiming down the sight.</v>
      </c>
      <c r="E216">
        <f t="shared" si="6"/>
        <v>3</v>
      </c>
      <c r="F216">
        <f t="shared" si="7"/>
        <v>305</v>
      </c>
      <c r="G216" t="str">
        <f>VLOOKUP(E216,DATA!A:C,3,FALSE)</f>
        <v>挂件</v>
      </c>
      <c r="H216" t="str">
        <f>VLOOKUP(MID(A216,LEN(A216)-2,1)*1,DATA!G:H,2,FALSE)</f>
        <v>PVP</v>
      </c>
      <c r="I216" t="str">
        <f>VLOOKUP(F216,DATA!B:D,3,FALSE)</f>
        <v>挂件</v>
      </c>
    </row>
    <row r="217" spans="1:9" x14ac:dyDescent="0.15">
      <c r="A217">
        <v>30500005</v>
      </c>
      <c r="B217">
        <f>VLOOKUP(A217,'Fox1'!A:F,2,FALSE)</f>
        <v>2</v>
      </c>
      <c r="C217" t="str">
        <f>VLOOKUP(A217,'Fox1'!A:E,5,FALSE)</f>
        <v>Stock-SMG</v>
      </c>
      <c r="D217" t="str">
        <f>VLOOKUP(A217,'Fox1'!A:F,6,FALSE)</f>
        <v>Move faster while aiming down the sight.</v>
      </c>
      <c r="E217">
        <f t="shared" si="6"/>
        <v>3</v>
      </c>
      <c r="F217">
        <f t="shared" si="7"/>
        <v>305</v>
      </c>
      <c r="G217" t="str">
        <f>VLOOKUP(E217,DATA!A:C,3,FALSE)</f>
        <v>挂件</v>
      </c>
      <c r="H217" t="str">
        <f>VLOOKUP(MID(A217,LEN(A217)-2,1)*1,DATA!G:H,2,FALSE)</f>
        <v>PVP</v>
      </c>
      <c r="I217" t="str">
        <f>VLOOKUP(F217,DATA!B:D,3,FALSE)</f>
        <v>挂件</v>
      </c>
    </row>
    <row r="218" spans="1:9" x14ac:dyDescent="0.15">
      <c r="A218">
        <v>30500006</v>
      </c>
      <c r="B218">
        <f>VLOOKUP(A218,'Fox1'!A:F,2,FALSE)</f>
        <v>1</v>
      </c>
      <c r="C218" t="str">
        <f>VLOOKUP(A218,'Fox1'!A:E,5,FALSE)</f>
        <v>Stock-SMG</v>
      </c>
      <c r="D218" t="str">
        <f>VLOOKUP(A218,'Fox1'!A:F,6,FALSE)</f>
        <v>Move faster while aiming down the sight.</v>
      </c>
      <c r="E218">
        <f t="shared" si="6"/>
        <v>3</v>
      </c>
      <c r="F218">
        <f t="shared" si="7"/>
        <v>305</v>
      </c>
      <c r="G218" t="str">
        <f>VLOOKUP(E218,DATA!A:C,3,FALSE)</f>
        <v>挂件</v>
      </c>
      <c r="H218" t="str">
        <f>VLOOKUP(MID(A218,LEN(A218)-2,1)*1,DATA!G:H,2,FALSE)</f>
        <v>PVP</v>
      </c>
      <c r="I218" t="str">
        <f>VLOOKUP(F218,DATA!B:D,3,FALSE)</f>
        <v>挂件</v>
      </c>
    </row>
    <row r="219" spans="1:9" x14ac:dyDescent="0.15">
      <c r="A219">
        <v>30500007</v>
      </c>
      <c r="B219">
        <f>VLOOKUP(A219,'Fox1'!A:F,2,FALSE)</f>
        <v>4</v>
      </c>
      <c r="C219" t="str">
        <f>VLOOKUP(A219,'Fox1'!A:E,5,FALSE)</f>
        <v>Stock-SMG</v>
      </c>
      <c r="D219" t="str">
        <f>VLOOKUP(A219,'Fox1'!A:F,6,FALSE)</f>
        <v>Move faster while aiming down the sight.</v>
      </c>
      <c r="E219">
        <f t="shared" si="6"/>
        <v>3</v>
      </c>
      <c r="F219">
        <f t="shared" si="7"/>
        <v>305</v>
      </c>
      <c r="G219" t="str">
        <f>VLOOKUP(E219,DATA!A:C,3,FALSE)</f>
        <v>挂件</v>
      </c>
      <c r="H219" t="str">
        <f>VLOOKUP(MID(A219,LEN(A219)-2,1)*1,DATA!G:H,2,FALSE)</f>
        <v>PVP</v>
      </c>
      <c r="I219" t="str">
        <f>VLOOKUP(F219,DATA!B:D,3,FALSE)</f>
        <v>挂件</v>
      </c>
    </row>
    <row r="220" spans="1:9" x14ac:dyDescent="0.15">
      <c r="A220">
        <v>30500008</v>
      </c>
      <c r="B220">
        <f>VLOOKUP(A220,'Fox1'!A:F,2,FALSE)</f>
        <v>5</v>
      </c>
      <c r="C220" t="str">
        <f>VLOOKUP(A220,'Fox1'!A:E,5,FALSE)</f>
        <v>Stock-SMG</v>
      </c>
      <c r="D220" t="str">
        <f>VLOOKUP(A220,'Fox1'!A:F,6,FALSE)</f>
        <v>Move faster while aiming down the sight.</v>
      </c>
      <c r="E220">
        <f t="shared" si="6"/>
        <v>3</v>
      </c>
      <c r="F220">
        <f t="shared" si="7"/>
        <v>305</v>
      </c>
      <c r="G220" t="str">
        <f>VLOOKUP(E220,DATA!A:C,3,FALSE)</f>
        <v>挂件</v>
      </c>
      <c r="H220" t="str">
        <f>VLOOKUP(MID(A220,LEN(A220)-2,1)*1,DATA!G:H,2,FALSE)</f>
        <v>PVP</v>
      </c>
      <c r="I220" t="str">
        <f>VLOOKUP(F220,DATA!B:D,3,FALSE)</f>
        <v>挂件</v>
      </c>
    </row>
    <row r="221" spans="1:9" x14ac:dyDescent="0.15">
      <c r="A221">
        <v>30500009</v>
      </c>
      <c r="B221">
        <f>VLOOKUP(A221,'Fox1'!A:F,2,FALSE)</f>
        <v>2</v>
      </c>
      <c r="C221" t="str">
        <f>VLOOKUP(A221,'Fox1'!A:E,5,FALSE)</f>
        <v>Stock-LMG</v>
      </c>
      <c r="D221" t="str">
        <f>VLOOKUP(A221,'Fox1'!A:F,6,FALSE)</f>
        <v>Move faster while aiming down the sight.</v>
      </c>
      <c r="E221">
        <f t="shared" si="6"/>
        <v>3</v>
      </c>
      <c r="F221">
        <f t="shared" si="7"/>
        <v>305</v>
      </c>
      <c r="G221" t="str">
        <f>VLOOKUP(E221,DATA!A:C,3,FALSE)</f>
        <v>挂件</v>
      </c>
      <c r="H221" t="str">
        <f>VLOOKUP(MID(A221,LEN(A221)-2,1)*1,DATA!G:H,2,FALSE)</f>
        <v>PVP</v>
      </c>
      <c r="I221" t="str">
        <f>VLOOKUP(F221,DATA!B:D,3,FALSE)</f>
        <v>挂件</v>
      </c>
    </row>
    <row r="222" spans="1:9" x14ac:dyDescent="0.15">
      <c r="A222">
        <v>30500010</v>
      </c>
      <c r="B222">
        <f>VLOOKUP(A222,'Fox1'!A:F,2,FALSE)</f>
        <v>1</v>
      </c>
      <c r="C222" t="str">
        <f>VLOOKUP(A222,'Fox1'!A:E,5,FALSE)</f>
        <v>Stock-LMG</v>
      </c>
      <c r="D222" t="str">
        <f>VLOOKUP(A222,'Fox1'!A:F,6,FALSE)</f>
        <v>Move faster while aiming down the sight.</v>
      </c>
      <c r="E222">
        <f t="shared" si="6"/>
        <v>3</v>
      </c>
      <c r="F222">
        <f t="shared" si="7"/>
        <v>305</v>
      </c>
      <c r="G222" t="str">
        <f>VLOOKUP(E222,DATA!A:C,3,FALSE)</f>
        <v>挂件</v>
      </c>
      <c r="H222" t="str">
        <f>VLOOKUP(MID(A222,LEN(A222)-2,1)*1,DATA!G:H,2,FALSE)</f>
        <v>PVP</v>
      </c>
      <c r="I222" t="str">
        <f>VLOOKUP(F222,DATA!B:D,3,FALSE)</f>
        <v>挂件</v>
      </c>
    </row>
    <row r="223" spans="1:9" x14ac:dyDescent="0.15">
      <c r="A223">
        <v>30500011</v>
      </c>
      <c r="B223">
        <f>VLOOKUP(A223,'Fox1'!A:F,2,FALSE)</f>
        <v>4</v>
      </c>
      <c r="C223" t="str">
        <f>VLOOKUP(A223,'Fox1'!A:E,5,FALSE)</f>
        <v>Stock-LMG</v>
      </c>
      <c r="D223" t="str">
        <f>VLOOKUP(A223,'Fox1'!A:F,6,FALSE)</f>
        <v>Move faster while aiming down the sight.</v>
      </c>
      <c r="E223">
        <f t="shared" si="6"/>
        <v>3</v>
      </c>
      <c r="F223">
        <f t="shared" si="7"/>
        <v>305</v>
      </c>
      <c r="G223" t="str">
        <f>VLOOKUP(E223,DATA!A:C,3,FALSE)</f>
        <v>挂件</v>
      </c>
      <c r="H223" t="str">
        <f>VLOOKUP(MID(A223,LEN(A223)-2,1)*1,DATA!G:H,2,FALSE)</f>
        <v>PVP</v>
      </c>
      <c r="I223" t="str">
        <f>VLOOKUP(F223,DATA!B:D,3,FALSE)</f>
        <v>挂件</v>
      </c>
    </row>
    <row r="224" spans="1:9" x14ac:dyDescent="0.15">
      <c r="A224">
        <v>30500012</v>
      </c>
      <c r="B224">
        <f>VLOOKUP(A224,'Fox1'!A:F,2,FALSE)</f>
        <v>5</v>
      </c>
      <c r="C224" t="str">
        <f>VLOOKUP(A224,'Fox1'!A:E,5,FALSE)</f>
        <v>Stock-LMG</v>
      </c>
      <c r="D224" t="str">
        <f>VLOOKUP(A224,'Fox1'!A:F,6,FALSE)</f>
        <v>Move faster while aiming down the sight.</v>
      </c>
      <c r="E224">
        <f t="shared" si="6"/>
        <v>3</v>
      </c>
      <c r="F224">
        <f t="shared" si="7"/>
        <v>305</v>
      </c>
      <c r="G224" t="str">
        <f>VLOOKUP(E224,DATA!A:C,3,FALSE)</f>
        <v>挂件</v>
      </c>
      <c r="H224" t="str">
        <f>VLOOKUP(MID(A224,LEN(A224)-2,1)*1,DATA!G:H,2,FALSE)</f>
        <v>PVP</v>
      </c>
      <c r="I224" t="str">
        <f>VLOOKUP(F224,DATA!B:D,3,FALSE)</f>
        <v>挂件</v>
      </c>
    </row>
    <row r="225" spans="1:9" x14ac:dyDescent="0.15">
      <c r="A225">
        <v>30500013</v>
      </c>
      <c r="B225">
        <f>VLOOKUP(A225,'Fox1'!A:F,2,FALSE)</f>
        <v>2</v>
      </c>
      <c r="C225" t="str">
        <f>VLOOKUP(A225,'Fox1'!A:E,5,FALSE)</f>
        <v>Stock-SR</v>
      </c>
      <c r="D225" t="str">
        <f>VLOOKUP(A225,'Fox1'!A:F,6,FALSE)</f>
        <v>Move faster while aiming down the sight.</v>
      </c>
      <c r="E225">
        <f t="shared" si="6"/>
        <v>3</v>
      </c>
      <c r="F225">
        <f t="shared" si="7"/>
        <v>305</v>
      </c>
      <c r="G225" t="str">
        <f>VLOOKUP(E225,DATA!A:C,3,FALSE)</f>
        <v>挂件</v>
      </c>
      <c r="H225" t="str">
        <f>VLOOKUP(MID(A225,LEN(A225)-2,1)*1,DATA!G:H,2,FALSE)</f>
        <v>PVP</v>
      </c>
      <c r="I225" t="str">
        <f>VLOOKUP(F225,DATA!B:D,3,FALSE)</f>
        <v>挂件</v>
      </c>
    </row>
    <row r="226" spans="1:9" x14ac:dyDescent="0.15">
      <c r="A226">
        <v>30500014</v>
      </c>
      <c r="B226">
        <f>VLOOKUP(A226,'Fox1'!A:F,2,FALSE)</f>
        <v>1</v>
      </c>
      <c r="C226" t="str">
        <f>VLOOKUP(A226,'Fox1'!A:E,5,FALSE)</f>
        <v>Stock-SR</v>
      </c>
      <c r="D226" t="str">
        <f>VLOOKUP(A226,'Fox1'!A:F,6,FALSE)</f>
        <v>Move faster while aiming down the sight.</v>
      </c>
      <c r="E226">
        <f t="shared" si="6"/>
        <v>3</v>
      </c>
      <c r="F226">
        <f t="shared" si="7"/>
        <v>305</v>
      </c>
      <c r="G226" t="str">
        <f>VLOOKUP(E226,DATA!A:C,3,FALSE)</f>
        <v>挂件</v>
      </c>
      <c r="H226" t="str">
        <f>VLOOKUP(MID(A226,LEN(A226)-2,1)*1,DATA!G:H,2,FALSE)</f>
        <v>PVP</v>
      </c>
      <c r="I226" t="str">
        <f>VLOOKUP(F226,DATA!B:D,3,FALSE)</f>
        <v>挂件</v>
      </c>
    </row>
    <row r="227" spans="1:9" x14ac:dyDescent="0.15">
      <c r="A227">
        <v>30500015</v>
      </c>
      <c r="B227">
        <f>VLOOKUP(A227,'Fox1'!A:F,2,FALSE)</f>
        <v>4</v>
      </c>
      <c r="C227" t="str">
        <f>VLOOKUP(A227,'Fox1'!A:E,5,FALSE)</f>
        <v>Stock-SR</v>
      </c>
      <c r="D227" t="str">
        <f>VLOOKUP(A227,'Fox1'!A:F,6,FALSE)</f>
        <v>Move faster while aiming down the sight.</v>
      </c>
      <c r="E227">
        <f t="shared" si="6"/>
        <v>3</v>
      </c>
      <c r="F227">
        <f t="shared" si="7"/>
        <v>305</v>
      </c>
      <c r="G227" t="str">
        <f>VLOOKUP(E227,DATA!A:C,3,FALSE)</f>
        <v>挂件</v>
      </c>
      <c r="H227" t="str">
        <f>VLOOKUP(MID(A227,LEN(A227)-2,1)*1,DATA!G:H,2,FALSE)</f>
        <v>PVP</v>
      </c>
      <c r="I227" t="str">
        <f>VLOOKUP(F227,DATA!B:D,3,FALSE)</f>
        <v>挂件</v>
      </c>
    </row>
    <row r="228" spans="1:9" x14ac:dyDescent="0.15">
      <c r="A228">
        <v>30500016</v>
      </c>
      <c r="B228">
        <f>VLOOKUP(A228,'Fox1'!A:F,2,FALSE)</f>
        <v>5</v>
      </c>
      <c r="C228" t="str">
        <f>VLOOKUP(A228,'Fox1'!A:E,5,FALSE)</f>
        <v>Stock-SR</v>
      </c>
      <c r="D228" t="str">
        <f>VLOOKUP(A228,'Fox1'!A:F,6,FALSE)</f>
        <v>Move faster while aiming down the sight.</v>
      </c>
      <c r="E228">
        <f t="shared" si="6"/>
        <v>3</v>
      </c>
      <c r="F228">
        <f t="shared" si="7"/>
        <v>305</v>
      </c>
      <c r="G228" t="str">
        <f>VLOOKUP(E228,DATA!A:C,3,FALSE)</f>
        <v>挂件</v>
      </c>
      <c r="H228" t="str">
        <f>VLOOKUP(MID(A228,LEN(A228)-2,1)*1,DATA!G:H,2,FALSE)</f>
        <v>PVP</v>
      </c>
      <c r="I228" t="str">
        <f>VLOOKUP(F228,DATA!B:D,3,FALSE)</f>
        <v>挂件</v>
      </c>
    </row>
    <row r="229" spans="1:9" x14ac:dyDescent="0.15">
      <c r="A229">
        <v>30700001</v>
      </c>
      <c r="B229">
        <f>VLOOKUP(A229,'Fox1'!A:F,2,FALSE)</f>
        <v>2</v>
      </c>
      <c r="C229" t="str">
        <f>VLOOKUP(A229,'Fox1'!A:E,5,FALSE)</f>
        <v>FMJ-AR</v>
      </c>
      <c r="D229" t="str">
        <f>VLOOKUP(A229,'Fox1'!A:F,6,FALSE)</f>
        <v>Increases material penetration and damage against enemy scorestreaks.</v>
      </c>
      <c r="E229">
        <f t="shared" si="6"/>
        <v>3</v>
      </c>
      <c r="F229">
        <f t="shared" si="7"/>
        <v>307</v>
      </c>
      <c r="G229" t="str">
        <f>VLOOKUP(E229,DATA!A:C,3,FALSE)</f>
        <v>挂件</v>
      </c>
      <c r="H229" t="str">
        <f>VLOOKUP(MID(A229,LEN(A229)-2,1)*1,DATA!G:H,2,FALSE)</f>
        <v>PVP</v>
      </c>
      <c r="I229" t="str">
        <f>VLOOKUP(F229,DATA!B:D,3,FALSE)</f>
        <v>挂件</v>
      </c>
    </row>
    <row r="230" spans="1:9" x14ac:dyDescent="0.15">
      <c r="A230">
        <v>30700002</v>
      </c>
      <c r="B230">
        <f>VLOOKUP(A230,'Fox1'!A:F,2,FALSE)</f>
        <v>1</v>
      </c>
      <c r="C230" t="str">
        <f>VLOOKUP(A230,'Fox1'!A:E,5,FALSE)</f>
        <v>FMJ-AR</v>
      </c>
      <c r="D230" t="str">
        <f>VLOOKUP(A230,'Fox1'!A:F,6,FALSE)</f>
        <v>Increases material penetration and damage against enemy scorestreaks.</v>
      </c>
      <c r="E230">
        <f t="shared" si="6"/>
        <v>3</v>
      </c>
      <c r="F230">
        <f t="shared" si="7"/>
        <v>307</v>
      </c>
      <c r="G230" t="str">
        <f>VLOOKUP(E230,DATA!A:C,3,FALSE)</f>
        <v>挂件</v>
      </c>
      <c r="H230" t="str">
        <f>VLOOKUP(MID(A230,LEN(A230)-2,1)*1,DATA!G:H,2,FALSE)</f>
        <v>PVP</v>
      </c>
      <c r="I230" t="str">
        <f>VLOOKUP(F230,DATA!B:D,3,FALSE)</f>
        <v>挂件</v>
      </c>
    </row>
    <row r="231" spans="1:9" x14ac:dyDescent="0.15">
      <c r="A231">
        <v>30700003</v>
      </c>
      <c r="B231">
        <f>VLOOKUP(A231,'Fox1'!A:F,2,FALSE)</f>
        <v>4</v>
      </c>
      <c r="C231" t="str">
        <f>VLOOKUP(A231,'Fox1'!A:E,5,FALSE)</f>
        <v>FMJ-AR</v>
      </c>
      <c r="D231" t="str">
        <f>VLOOKUP(A231,'Fox1'!A:F,6,FALSE)</f>
        <v>Increases material penetration and damage against enemy scorestreaks.</v>
      </c>
      <c r="E231">
        <f t="shared" si="6"/>
        <v>3</v>
      </c>
      <c r="F231">
        <f t="shared" si="7"/>
        <v>307</v>
      </c>
      <c r="G231" t="str">
        <f>VLOOKUP(E231,DATA!A:C,3,FALSE)</f>
        <v>挂件</v>
      </c>
      <c r="H231" t="str">
        <f>VLOOKUP(MID(A231,LEN(A231)-2,1)*1,DATA!G:H,2,FALSE)</f>
        <v>PVP</v>
      </c>
      <c r="I231" t="str">
        <f>VLOOKUP(F231,DATA!B:D,3,FALSE)</f>
        <v>挂件</v>
      </c>
    </row>
    <row r="232" spans="1:9" x14ac:dyDescent="0.15">
      <c r="A232">
        <v>30700004</v>
      </c>
      <c r="B232">
        <f>VLOOKUP(A232,'Fox1'!A:F,2,FALSE)</f>
        <v>5</v>
      </c>
      <c r="C232" t="str">
        <f>VLOOKUP(A232,'Fox1'!A:E,5,FALSE)</f>
        <v>FMJ-AR</v>
      </c>
      <c r="D232" t="str">
        <f>VLOOKUP(A232,'Fox1'!A:F,6,FALSE)</f>
        <v>Increases material penetration and damage against enemy scorestreaks.</v>
      </c>
      <c r="E232">
        <f t="shared" si="6"/>
        <v>3</v>
      </c>
      <c r="F232">
        <f t="shared" si="7"/>
        <v>307</v>
      </c>
      <c r="G232" t="str">
        <f>VLOOKUP(E232,DATA!A:C,3,FALSE)</f>
        <v>挂件</v>
      </c>
      <c r="H232" t="str">
        <f>VLOOKUP(MID(A232,LEN(A232)-2,1)*1,DATA!G:H,2,FALSE)</f>
        <v>PVP</v>
      </c>
      <c r="I232" t="str">
        <f>VLOOKUP(F232,DATA!B:D,3,FALSE)</f>
        <v>挂件</v>
      </c>
    </row>
    <row r="233" spans="1:9" x14ac:dyDescent="0.15">
      <c r="A233">
        <v>30700005</v>
      </c>
      <c r="B233">
        <f>VLOOKUP(A233,'Fox1'!A:F,2,FALSE)</f>
        <v>2</v>
      </c>
      <c r="C233" t="str">
        <f>VLOOKUP(A233,'Fox1'!A:E,5,FALSE)</f>
        <v>FMJ-SMG</v>
      </c>
      <c r="D233" t="str">
        <f>VLOOKUP(A233,'Fox1'!A:F,6,FALSE)</f>
        <v>Increases material penetration and damage against enemy scorestreaks.</v>
      </c>
      <c r="E233">
        <f t="shared" si="6"/>
        <v>3</v>
      </c>
      <c r="F233">
        <f t="shared" si="7"/>
        <v>307</v>
      </c>
      <c r="G233" t="str">
        <f>VLOOKUP(E233,DATA!A:C,3,FALSE)</f>
        <v>挂件</v>
      </c>
      <c r="H233" t="str">
        <f>VLOOKUP(MID(A233,LEN(A233)-2,1)*1,DATA!G:H,2,FALSE)</f>
        <v>PVP</v>
      </c>
      <c r="I233" t="str">
        <f>VLOOKUP(F233,DATA!B:D,3,FALSE)</f>
        <v>挂件</v>
      </c>
    </row>
    <row r="234" spans="1:9" x14ac:dyDescent="0.15">
      <c r="A234">
        <v>30700006</v>
      </c>
      <c r="B234">
        <f>VLOOKUP(A234,'Fox1'!A:F,2,FALSE)</f>
        <v>1</v>
      </c>
      <c r="C234" t="str">
        <f>VLOOKUP(A234,'Fox1'!A:E,5,FALSE)</f>
        <v>FMJ-SMG</v>
      </c>
      <c r="D234" t="str">
        <f>VLOOKUP(A234,'Fox1'!A:F,6,FALSE)</f>
        <v>Increases material penetration and damage against enemy scorestreaks.</v>
      </c>
      <c r="E234">
        <f t="shared" si="6"/>
        <v>3</v>
      </c>
      <c r="F234">
        <f t="shared" si="7"/>
        <v>307</v>
      </c>
      <c r="G234" t="str">
        <f>VLOOKUP(E234,DATA!A:C,3,FALSE)</f>
        <v>挂件</v>
      </c>
      <c r="H234" t="str">
        <f>VLOOKUP(MID(A234,LEN(A234)-2,1)*1,DATA!G:H,2,FALSE)</f>
        <v>PVP</v>
      </c>
      <c r="I234" t="str">
        <f>VLOOKUP(F234,DATA!B:D,3,FALSE)</f>
        <v>挂件</v>
      </c>
    </row>
    <row r="235" spans="1:9" x14ac:dyDescent="0.15">
      <c r="A235">
        <v>30700007</v>
      </c>
      <c r="B235">
        <f>VLOOKUP(A235,'Fox1'!A:F,2,FALSE)</f>
        <v>4</v>
      </c>
      <c r="C235" t="str">
        <f>VLOOKUP(A235,'Fox1'!A:E,5,FALSE)</f>
        <v>FMJ-SMG</v>
      </c>
      <c r="D235" t="str">
        <f>VLOOKUP(A235,'Fox1'!A:F,6,FALSE)</f>
        <v>Increases material penetration and damage against enemy scorestreaks.</v>
      </c>
      <c r="E235">
        <f t="shared" si="6"/>
        <v>3</v>
      </c>
      <c r="F235">
        <f t="shared" si="7"/>
        <v>307</v>
      </c>
      <c r="G235" t="str">
        <f>VLOOKUP(E235,DATA!A:C,3,FALSE)</f>
        <v>挂件</v>
      </c>
      <c r="H235" t="str">
        <f>VLOOKUP(MID(A235,LEN(A235)-2,1)*1,DATA!G:H,2,FALSE)</f>
        <v>PVP</v>
      </c>
      <c r="I235" t="str">
        <f>VLOOKUP(F235,DATA!B:D,3,FALSE)</f>
        <v>挂件</v>
      </c>
    </row>
    <row r="236" spans="1:9" x14ac:dyDescent="0.15">
      <c r="A236">
        <v>30700008</v>
      </c>
      <c r="B236">
        <f>VLOOKUP(A236,'Fox1'!A:F,2,FALSE)</f>
        <v>5</v>
      </c>
      <c r="C236" t="str">
        <f>VLOOKUP(A236,'Fox1'!A:E,5,FALSE)</f>
        <v>FMJ-SMG</v>
      </c>
      <c r="D236" t="str">
        <f>VLOOKUP(A236,'Fox1'!A:F,6,FALSE)</f>
        <v>Increases material penetration and damage against enemy scorestreaks.</v>
      </c>
      <c r="E236">
        <f t="shared" si="6"/>
        <v>3</v>
      </c>
      <c r="F236">
        <f t="shared" si="7"/>
        <v>307</v>
      </c>
      <c r="G236" t="str">
        <f>VLOOKUP(E236,DATA!A:C,3,FALSE)</f>
        <v>挂件</v>
      </c>
      <c r="H236" t="str">
        <f>VLOOKUP(MID(A236,LEN(A236)-2,1)*1,DATA!G:H,2,FALSE)</f>
        <v>PVP</v>
      </c>
      <c r="I236" t="str">
        <f>VLOOKUP(F236,DATA!B:D,3,FALSE)</f>
        <v>挂件</v>
      </c>
    </row>
    <row r="237" spans="1:9" x14ac:dyDescent="0.15">
      <c r="A237">
        <v>30700009</v>
      </c>
      <c r="B237">
        <f>VLOOKUP(A237,'Fox1'!A:F,2,FALSE)</f>
        <v>2</v>
      </c>
      <c r="C237" t="str">
        <f>VLOOKUP(A237,'Fox1'!A:E,5,FALSE)</f>
        <v>FMJ-LMG</v>
      </c>
      <c r="D237" t="str">
        <f>VLOOKUP(A237,'Fox1'!A:F,6,FALSE)</f>
        <v>Increases material penetration and damage against enemy scorestreaks.</v>
      </c>
      <c r="E237">
        <f t="shared" si="6"/>
        <v>3</v>
      </c>
      <c r="F237">
        <f t="shared" si="7"/>
        <v>307</v>
      </c>
      <c r="G237" t="str">
        <f>VLOOKUP(E237,DATA!A:C,3,FALSE)</f>
        <v>挂件</v>
      </c>
      <c r="H237" t="str">
        <f>VLOOKUP(MID(A237,LEN(A237)-2,1)*1,DATA!G:H,2,FALSE)</f>
        <v>PVP</v>
      </c>
      <c r="I237" t="str">
        <f>VLOOKUP(F237,DATA!B:D,3,FALSE)</f>
        <v>挂件</v>
      </c>
    </row>
    <row r="238" spans="1:9" x14ac:dyDescent="0.15">
      <c r="A238">
        <v>30700010</v>
      </c>
      <c r="B238">
        <f>VLOOKUP(A238,'Fox1'!A:F,2,FALSE)</f>
        <v>1</v>
      </c>
      <c r="C238" t="str">
        <f>VLOOKUP(A238,'Fox1'!A:E,5,FALSE)</f>
        <v>FMJ-LMG</v>
      </c>
      <c r="D238" t="str">
        <f>VLOOKUP(A238,'Fox1'!A:F,6,FALSE)</f>
        <v>Increases material penetration and damage against enemy scorestreaks.</v>
      </c>
      <c r="E238">
        <f t="shared" si="6"/>
        <v>3</v>
      </c>
      <c r="F238">
        <f t="shared" si="7"/>
        <v>307</v>
      </c>
      <c r="G238" t="str">
        <f>VLOOKUP(E238,DATA!A:C,3,FALSE)</f>
        <v>挂件</v>
      </c>
      <c r="H238" t="str">
        <f>VLOOKUP(MID(A238,LEN(A238)-2,1)*1,DATA!G:H,2,FALSE)</f>
        <v>PVP</v>
      </c>
      <c r="I238" t="str">
        <f>VLOOKUP(F238,DATA!B:D,3,FALSE)</f>
        <v>挂件</v>
      </c>
    </row>
    <row r="239" spans="1:9" x14ac:dyDescent="0.15">
      <c r="A239">
        <v>30700011</v>
      </c>
      <c r="B239">
        <f>VLOOKUP(A239,'Fox1'!A:F,2,FALSE)</f>
        <v>4</v>
      </c>
      <c r="C239" t="str">
        <f>VLOOKUP(A239,'Fox1'!A:E,5,FALSE)</f>
        <v>FMJ-LMG</v>
      </c>
      <c r="D239" t="str">
        <f>VLOOKUP(A239,'Fox1'!A:F,6,FALSE)</f>
        <v>Increases material penetration and damage against enemy scorestreaks.</v>
      </c>
      <c r="E239">
        <f t="shared" si="6"/>
        <v>3</v>
      </c>
      <c r="F239">
        <f t="shared" si="7"/>
        <v>307</v>
      </c>
      <c r="G239" t="str">
        <f>VLOOKUP(E239,DATA!A:C,3,FALSE)</f>
        <v>挂件</v>
      </c>
      <c r="H239" t="str">
        <f>VLOOKUP(MID(A239,LEN(A239)-2,1)*1,DATA!G:H,2,FALSE)</f>
        <v>PVP</v>
      </c>
      <c r="I239" t="str">
        <f>VLOOKUP(F239,DATA!B:D,3,FALSE)</f>
        <v>挂件</v>
      </c>
    </row>
    <row r="240" spans="1:9" x14ac:dyDescent="0.15">
      <c r="A240">
        <v>30700012</v>
      </c>
      <c r="B240">
        <f>VLOOKUP(A240,'Fox1'!A:F,2,FALSE)</f>
        <v>5</v>
      </c>
      <c r="C240" t="str">
        <f>VLOOKUP(A240,'Fox1'!A:E,5,FALSE)</f>
        <v>FMJ-LMG</v>
      </c>
      <c r="D240" t="str">
        <f>VLOOKUP(A240,'Fox1'!A:F,6,FALSE)</f>
        <v>Increases material penetration and damage against enemy scorestreaks.</v>
      </c>
      <c r="E240">
        <f t="shared" si="6"/>
        <v>3</v>
      </c>
      <c r="F240">
        <f t="shared" si="7"/>
        <v>307</v>
      </c>
      <c r="G240" t="str">
        <f>VLOOKUP(E240,DATA!A:C,3,FALSE)</f>
        <v>挂件</v>
      </c>
      <c r="H240" t="str">
        <f>VLOOKUP(MID(A240,LEN(A240)-2,1)*1,DATA!G:H,2,FALSE)</f>
        <v>PVP</v>
      </c>
      <c r="I240" t="str">
        <f>VLOOKUP(F240,DATA!B:D,3,FALSE)</f>
        <v>挂件</v>
      </c>
    </row>
    <row r="241" spans="1:9" x14ac:dyDescent="0.15">
      <c r="A241">
        <v>30700013</v>
      </c>
      <c r="B241">
        <f>VLOOKUP(A241,'Fox1'!A:F,2,FALSE)</f>
        <v>2</v>
      </c>
      <c r="C241" t="str">
        <f>VLOOKUP(A241,'Fox1'!A:E,5,FALSE)</f>
        <v>FMJ-SR</v>
      </c>
      <c r="D241" t="str">
        <f>VLOOKUP(A241,'Fox1'!A:F,6,FALSE)</f>
        <v>Increases material penetration and damage against enemy scorestreaks.</v>
      </c>
      <c r="E241">
        <f t="shared" si="6"/>
        <v>3</v>
      </c>
      <c r="F241">
        <f t="shared" si="7"/>
        <v>307</v>
      </c>
      <c r="G241" t="str">
        <f>VLOOKUP(E241,DATA!A:C,3,FALSE)</f>
        <v>挂件</v>
      </c>
      <c r="H241" t="str">
        <f>VLOOKUP(MID(A241,LEN(A241)-2,1)*1,DATA!G:H,2,FALSE)</f>
        <v>PVP</v>
      </c>
      <c r="I241" t="str">
        <f>VLOOKUP(F241,DATA!B:D,3,FALSE)</f>
        <v>挂件</v>
      </c>
    </row>
    <row r="242" spans="1:9" x14ac:dyDescent="0.15">
      <c r="A242">
        <v>30700014</v>
      </c>
      <c r="B242">
        <f>VLOOKUP(A242,'Fox1'!A:F,2,FALSE)</f>
        <v>1</v>
      </c>
      <c r="C242" t="str">
        <f>VLOOKUP(A242,'Fox1'!A:E,5,FALSE)</f>
        <v>FMJ-SR</v>
      </c>
      <c r="D242" t="str">
        <f>VLOOKUP(A242,'Fox1'!A:F,6,FALSE)</f>
        <v>Increases material penetration and damage against enemy scorestreaks.</v>
      </c>
      <c r="E242">
        <f t="shared" si="6"/>
        <v>3</v>
      </c>
      <c r="F242">
        <f t="shared" si="7"/>
        <v>307</v>
      </c>
      <c r="G242" t="str">
        <f>VLOOKUP(E242,DATA!A:C,3,FALSE)</f>
        <v>挂件</v>
      </c>
      <c r="H242" t="str">
        <f>VLOOKUP(MID(A242,LEN(A242)-2,1)*1,DATA!G:H,2,FALSE)</f>
        <v>PVP</v>
      </c>
      <c r="I242" t="str">
        <f>VLOOKUP(F242,DATA!B:D,3,FALSE)</f>
        <v>挂件</v>
      </c>
    </row>
    <row r="243" spans="1:9" x14ac:dyDescent="0.15">
      <c r="A243">
        <v>30700015</v>
      </c>
      <c r="B243">
        <f>VLOOKUP(A243,'Fox1'!A:F,2,FALSE)</f>
        <v>4</v>
      </c>
      <c r="C243" t="str">
        <f>VLOOKUP(A243,'Fox1'!A:E,5,FALSE)</f>
        <v>FMJ-SR</v>
      </c>
      <c r="D243" t="str">
        <f>VLOOKUP(A243,'Fox1'!A:F,6,FALSE)</f>
        <v>Increases material penetration and damage against enemy scorestreaks.</v>
      </c>
      <c r="E243">
        <f t="shared" si="6"/>
        <v>3</v>
      </c>
      <c r="F243">
        <f t="shared" si="7"/>
        <v>307</v>
      </c>
      <c r="G243" t="str">
        <f>VLOOKUP(E243,DATA!A:C,3,FALSE)</f>
        <v>挂件</v>
      </c>
      <c r="H243" t="str">
        <f>VLOOKUP(MID(A243,LEN(A243)-2,1)*1,DATA!G:H,2,FALSE)</f>
        <v>PVP</v>
      </c>
      <c r="I243" t="str">
        <f>VLOOKUP(F243,DATA!B:D,3,FALSE)</f>
        <v>挂件</v>
      </c>
    </row>
    <row r="244" spans="1:9" x14ac:dyDescent="0.15">
      <c r="A244">
        <v>30700016</v>
      </c>
      <c r="B244">
        <f>VLOOKUP(A244,'Fox1'!A:F,2,FALSE)</f>
        <v>5</v>
      </c>
      <c r="C244" t="str">
        <f>VLOOKUP(A244,'Fox1'!A:E,5,FALSE)</f>
        <v>FMJ-SR</v>
      </c>
      <c r="D244" t="str">
        <f>VLOOKUP(A244,'Fox1'!A:F,6,FALSE)</f>
        <v>Increases material penetration and damage against enemy scorestreaks.</v>
      </c>
      <c r="E244">
        <f t="shared" si="6"/>
        <v>3</v>
      </c>
      <c r="F244">
        <f t="shared" si="7"/>
        <v>307</v>
      </c>
      <c r="G244" t="str">
        <f>VLOOKUP(E244,DATA!A:C,3,FALSE)</f>
        <v>挂件</v>
      </c>
      <c r="H244" t="str">
        <f>VLOOKUP(MID(A244,LEN(A244)-2,1)*1,DATA!G:H,2,FALSE)</f>
        <v>PVP</v>
      </c>
      <c r="I244" t="str">
        <f>VLOOKUP(F244,DATA!B:D,3,FALSE)</f>
        <v>挂件</v>
      </c>
    </row>
    <row r="245" spans="1:9" x14ac:dyDescent="0.15">
      <c r="A245">
        <v>30700017</v>
      </c>
      <c r="B245">
        <f>VLOOKUP(A245,'Fox1'!A:F,2,FALSE)</f>
        <v>2</v>
      </c>
      <c r="C245" t="str">
        <f>VLOOKUP(A245,'Fox1'!A:E,5,FALSE)</f>
        <v>FMJ-Pistol</v>
      </c>
      <c r="D245" t="str">
        <f>VLOOKUP(A245,'Fox1'!A:F,6,FALSE)</f>
        <v>Increases material penetration and damage against enemy scorestreaks.</v>
      </c>
      <c r="E245">
        <f t="shared" si="6"/>
        <v>3</v>
      </c>
      <c r="F245">
        <f t="shared" si="7"/>
        <v>307</v>
      </c>
      <c r="G245" t="str">
        <f>VLOOKUP(E245,DATA!A:C,3,FALSE)</f>
        <v>挂件</v>
      </c>
      <c r="H245" t="str">
        <f>VLOOKUP(MID(A245,LEN(A245)-2,1)*1,DATA!G:H,2,FALSE)</f>
        <v>PVP</v>
      </c>
      <c r="I245" t="str">
        <f>VLOOKUP(F245,DATA!B:D,3,FALSE)</f>
        <v>挂件</v>
      </c>
    </row>
    <row r="246" spans="1:9" x14ac:dyDescent="0.15">
      <c r="A246">
        <v>30700018</v>
      </c>
      <c r="B246">
        <f>VLOOKUP(A246,'Fox1'!A:F,2,FALSE)</f>
        <v>1</v>
      </c>
      <c r="C246" t="str">
        <f>VLOOKUP(A246,'Fox1'!A:E,5,FALSE)</f>
        <v>FMJ-Pistol</v>
      </c>
      <c r="D246" t="str">
        <f>VLOOKUP(A246,'Fox1'!A:F,6,FALSE)</f>
        <v>Increases material penetration and damage against enemy scorestreaks.</v>
      </c>
      <c r="E246">
        <f t="shared" si="6"/>
        <v>3</v>
      </c>
      <c r="F246">
        <f t="shared" si="7"/>
        <v>307</v>
      </c>
      <c r="G246" t="str">
        <f>VLOOKUP(E246,DATA!A:C,3,FALSE)</f>
        <v>挂件</v>
      </c>
      <c r="H246" t="str">
        <f>VLOOKUP(MID(A246,LEN(A246)-2,1)*1,DATA!G:H,2,FALSE)</f>
        <v>PVP</v>
      </c>
      <c r="I246" t="str">
        <f>VLOOKUP(F246,DATA!B:D,3,FALSE)</f>
        <v>挂件</v>
      </c>
    </row>
    <row r="247" spans="1:9" x14ac:dyDescent="0.15">
      <c r="A247">
        <v>30700019</v>
      </c>
      <c r="B247">
        <f>VLOOKUP(A247,'Fox1'!A:F,2,FALSE)</f>
        <v>4</v>
      </c>
      <c r="C247" t="str">
        <f>VLOOKUP(A247,'Fox1'!A:E,5,FALSE)</f>
        <v>FMJ-Pistol</v>
      </c>
      <c r="D247" t="str">
        <f>VLOOKUP(A247,'Fox1'!A:F,6,FALSE)</f>
        <v>Increases material penetration and damage against enemy scorestreaks.</v>
      </c>
      <c r="E247">
        <f t="shared" si="6"/>
        <v>3</v>
      </c>
      <c r="F247">
        <f t="shared" si="7"/>
        <v>307</v>
      </c>
      <c r="G247" t="str">
        <f>VLOOKUP(E247,DATA!A:C,3,FALSE)</f>
        <v>挂件</v>
      </c>
      <c r="H247" t="str">
        <f>VLOOKUP(MID(A247,LEN(A247)-2,1)*1,DATA!G:H,2,FALSE)</f>
        <v>PVP</v>
      </c>
      <c r="I247" t="str">
        <f>VLOOKUP(F247,DATA!B:D,3,FALSE)</f>
        <v>挂件</v>
      </c>
    </row>
    <row r="248" spans="1:9" x14ac:dyDescent="0.15">
      <c r="A248">
        <v>30700020</v>
      </c>
      <c r="B248">
        <f>VLOOKUP(A248,'Fox1'!A:F,2,FALSE)</f>
        <v>5</v>
      </c>
      <c r="C248" t="str">
        <f>VLOOKUP(A248,'Fox1'!A:E,5,FALSE)</f>
        <v>FMJ-Pistol</v>
      </c>
      <c r="D248" t="str">
        <f>VLOOKUP(A248,'Fox1'!A:F,6,FALSE)</f>
        <v>Increases material penetration and damage against enemy scorestreaks.</v>
      </c>
      <c r="E248">
        <f t="shared" si="6"/>
        <v>3</v>
      </c>
      <c r="F248">
        <f t="shared" si="7"/>
        <v>307</v>
      </c>
      <c r="G248" t="str">
        <f>VLOOKUP(E248,DATA!A:C,3,FALSE)</f>
        <v>挂件</v>
      </c>
      <c r="H248" t="str">
        <f>VLOOKUP(MID(A248,LEN(A248)-2,1)*1,DATA!G:H,2,FALSE)</f>
        <v>PVP</v>
      </c>
      <c r="I248" t="str">
        <f>VLOOKUP(F248,DATA!B:D,3,FALSE)</f>
        <v>挂件</v>
      </c>
    </row>
    <row r="249" spans="1:9" x14ac:dyDescent="0.15">
      <c r="A249">
        <v>30703001</v>
      </c>
      <c r="B249">
        <f>VLOOKUP(A249,'Fox1'!A:F,2,FALSE)</f>
        <v>2</v>
      </c>
      <c r="C249" t="str">
        <f>VLOOKUP(A249,'Fox1'!A:E,5,FALSE)</f>
        <v>Long barrel-SMG</v>
      </c>
      <c r="D249" t="str">
        <f>VLOOKUP(A249,'Fox1'!A:F,6,FALSE)</f>
        <v>Increases fire range</v>
      </c>
      <c r="E249">
        <f t="shared" si="6"/>
        <v>3</v>
      </c>
      <c r="F249">
        <f t="shared" si="7"/>
        <v>307</v>
      </c>
      <c r="G249" t="str">
        <f>VLOOKUP(E249,DATA!A:C,3,FALSE)</f>
        <v>挂件</v>
      </c>
      <c r="H249" t="str">
        <f>VLOOKUP(MID(A249,LEN(A249)-2,1)*1,DATA!G:H,2,FALSE)</f>
        <v>PVP</v>
      </c>
      <c r="I249" t="str">
        <f>VLOOKUP(F249,DATA!B:D,3,FALSE)</f>
        <v>挂件</v>
      </c>
    </row>
    <row r="250" spans="1:9" x14ac:dyDescent="0.15">
      <c r="A250">
        <v>30703002</v>
      </c>
      <c r="B250">
        <f>VLOOKUP(A250,'Fox1'!A:F,2,FALSE)</f>
        <v>1</v>
      </c>
      <c r="C250" t="str">
        <f>VLOOKUP(A250,'Fox1'!A:E,5,FALSE)</f>
        <v>Long barrel-SMG</v>
      </c>
      <c r="D250" t="str">
        <f>VLOOKUP(A250,'Fox1'!A:F,6,FALSE)</f>
        <v>Increases fire range</v>
      </c>
      <c r="E250">
        <f t="shared" si="6"/>
        <v>3</v>
      </c>
      <c r="F250">
        <f t="shared" si="7"/>
        <v>307</v>
      </c>
      <c r="G250" t="str">
        <f>VLOOKUP(E250,DATA!A:C,3,FALSE)</f>
        <v>挂件</v>
      </c>
      <c r="H250" t="str">
        <f>VLOOKUP(MID(A250,LEN(A250)-2,1)*1,DATA!G:H,2,FALSE)</f>
        <v>PVP</v>
      </c>
      <c r="I250" t="str">
        <f>VLOOKUP(F250,DATA!B:D,3,FALSE)</f>
        <v>挂件</v>
      </c>
    </row>
    <row r="251" spans="1:9" x14ac:dyDescent="0.15">
      <c r="A251">
        <v>30703003</v>
      </c>
      <c r="B251">
        <f>VLOOKUP(A251,'Fox1'!A:F,2,FALSE)</f>
        <v>4</v>
      </c>
      <c r="C251" t="str">
        <f>VLOOKUP(A251,'Fox1'!A:E,5,FALSE)</f>
        <v>Long barrel-SMG</v>
      </c>
      <c r="D251" t="str">
        <f>VLOOKUP(A251,'Fox1'!A:F,6,FALSE)</f>
        <v>Increases fire range</v>
      </c>
      <c r="E251">
        <f t="shared" si="6"/>
        <v>3</v>
      </c>
      <c r="F251">
        <f t="shared" si="7"/>
        <v>307</v>
      </c>
      <c r="G251" t="str">
        <f>VLOOKUP(E251,DATA!A:C,3,FALSE)</f>
        <v>挂件</v>
      </c>
      <c r="H251" t="str">
        <f>VLOOKUP(MID(A251,LEN(A251)-2,1)*1,DATA!G:H,2,FALSE)</f>
        <v>PVP</v>
      </c>
      <c r="I251" t="str">
        <f>VLOOKUP(F251,DATA!B:D,3,FALSE)</f>
        <v>挂件</v>
      </c>
    </row>
    <row r="252" spans="1:9" x14ac:dyDescent="0.15">
      <c r="A252">
        <v>30703004</v>
      </c>
      <c r="B252">
        <f>VLOOKUP(A252,'Fox1'!A:F,2,FALSE)</f>
        <v>5</v>
      </c>
      <c r="C252" t="str">
        <f>VLOOKUP(A252,'Fox1'!A:E,5,FALSE)</f>
        <v>Long barrel-SMG</v>
      </c>
      <c r="D252" t="str">
        <f>VLOOKUP(A252,'Fox1'!A:F,6,FALSE)</f>
        <v>Increases fire range</v>
      </c>
      <c r="E252">
        <f t="shared" si="6"/>
        <v>3</v>
      </c>
      <c r="F252">
        <f t="shared" si="7"/>
        <v>307</v>
      </c>
      <c r="G252" t="str">
        <f>VLOOKUP(E252,DATA!A:C,3,FALSE)</f>
        <v>挂件</v>
      </c>
      <c r="H252" t="str">
        <f>VLOOKUP(MID(A252,LEN(A252)-2,1)*1,DATA!G:H,2,FALSE)</f>
        <v>PVP</v>
      </c>
      <c r="I252" t="str">
        <f>VLOOKUP(F252,DATA!B:D,3,FALSE)</f>
        <v>挂件</v>
      </c>
    </row>
    <row r="253" spans="1:9" x14ac:dyDescent="0.15">
      <c r="A253">
        <v>30703005</v>
      </c>
      <c r="B253">
        <f>VLOOKUP(A253,'Fox1'!A:F,2,FALSE)</f>
        <v>2</v>
      </c>
      <c r="C253" t="str">
        <f>VLOOKUP(A253,'Fox1'!A:E,5,FALSE)</f>
        <v>Long barrel-SG</v>
      </c>
      <c r="D253" t="str">
        <f>VLOOKUP(A253,'Fox1'!A:F,6,FALSE)</f>
        <v>Increases fire range</v>
      </c>
      <c r="E253">
        <f t="shared" si="6"/>
        <v>3</v>
      </c>
      <c r="F253">
        <f t="shared" si="7"/>
        <v>307</v>
      </c>
      <c r="G253" t="str">
        <f>VLOOKUP(E253,DATA!A:C,3,FALSE)</f>
        <v>挂件</v>
      </c>
      <c r="H253" t="str">
        <f>VLOOKUP(MID(A253,LEN(A253)-2,1)*1,DATA!G:H,2,FALSE)</f>
        <v>PVP</v>
      </c>
      <c r="I253" t="str">
        <f>VLOOKUP(F253,DATA!B:D,3,FALSE)</f>
        <v>挂件</v>
      </c>
    </row>
    <row r="254" spans="1:9" x14ac:dyDescent="0.15">
      <c r="A254">
        <v>30703006</v>
      </c>
      <c r="B254">
        <f>VLOOKUP(A254,'Fox1'!A:F,2,FALSE)</f>
        <v>1</v>
      </c>
      <c r="C254" t="str">
        <f>VLOOKUP(A254,'Fox1'!A:E,5,FALSE)</f>
        <v>Long barrel-SG</v>
      </c>
      <c r="D254" t="str">
        <f>VLOOKUP(A254,'Fox1'!A:F,6,FALSE)</f>
        <v>Increases fire range</v>
      </c>
      <c r="E254">
        <f t="shared" si="6"/>
        <v>3</v>
      </c>
      <c r="F254">
        <f t="shared" si="7"/>
        <v>307</v>
      </c>
      <c r="G254" t="str">
        <f>VLOOKUP(E254,DATA!A:C,3,FALSE)</f>
        <v>挂件</v>
      </c>
      <c r="H254" t="str">
        <f>VLOOKUP(MID(A254,LEN(A254)-2,1)*1,DATA!G:H,2,FALSE)</f>
        <v>PVP</v>
      </c>
      <c r="I254" t="str">
        <f>VLOOKUP(F254,DATA!B:D,3,FALSE)</f>
        <v>挂件</v>
      </c>
    </row>
    <row r="255" spans="1:9" x14ac:dyDescent="0.15">
      <c r="A255">
        <v>30703007</v>
      </c>
      <c r="B255">
        <f>VLOOKUP(A255,'Fox1'!A:F,2,FALSE)</f>
        <v>4</v>
      </c>
      <c r="C255" t="str">
        <f>VLOOKUP(A255,'Fox1'!A:E,5,FALSE)</f>
        <v>Long barrel-SG</v>
      </c>
      <c r="D255" t="str">
        <f>VLOOKUP(A255,'Fox1'!A:F,6,FALSE)</f>
        <v>Increases fire range</v>
      </c>
      <c r="E255">
        <f t="shared" si="6"/>
        <v>3</v>
      </c>
      <c r="F255">
        <f t="shared" si="7"/>
        <v>307</v>
      </c>
      <c r="G255" t="str">
        <f>VLOOKUP(E255,DATA!A:C,3,FALSE)</f>
        <v>挂件</v>
      </c>
      <c r="H255" t="str">
        <f>VLOOKUP(MID(A255,LEN(A255)-2,1)*1,DATA!G:H,2,FALSE)</f>
        <v>PVP</v>
      </c>
      <c r="I255" t="str">
        <f>VLOOKUP(F255,DATA!B:D,3,FALSE)</f>
        <v>挂件</v>
      </c>
    </row>
    <row r="256" spans="1:9" x14ac:dyDescent="0.15">
      <c r="A256">
        <v>30703008</v>
      </c>
      <c r="B256">
        <f>VLOOKUP(A256,'Fox1'!A:F,2,FALSE)</f>
        <v>5</v>
      </c>
      <c r="C256" t="str">
        <f>VLOOKUP(A256,'Fox1'!A:E,5,FALSE)</f>
        <v>Long barrel-SG</v>
      </c>
      <c r="D256" t="str">
        <f>VLOOKUP(A256,'Fox1'!A:F,6,FALSE)</f>
        <v>Increases fire range</v>
      </c>
      <c r="E256">
        <f t="shared" si="6"/>
        <v>3</v>
      </c>
      <c r="F256">
        <f t="shared" si="7"/>
        <v>307</v>
      </c>
      <c r="G256" t="str">
        <f>VLOOKUP(E256,DATA!A:C,3,FALSE)</f>
        <v>挂件</v>
      </c>
      <c r="H256" t="str">
        <f>VLOOKUP(MID(A256,LEN(A256)-2,1)*1,DATA!G:H,2,FALSE)</f>
        <v>PVP</v>
      </c>
      <c r="I256" t="str">
        <f>VLOOKUP(F256,DATA!B:D,3,FALSE)</f>
        <v>挂件</v>
      </c>
    </row>
    <row r="257" spans="1:9" x14ac:dyDescent="0.15">
      <c r="A257">
        <v>30704001</v>
      </c>
      <c r="B257">
        <f>VLOOKUP(A257,'Fox1'!A:F,2,FALSE)</f>
        <v>2</v>
      </c>
      <c r="C257" t="str">
        <f>VLOOKUP(A257,'Fox1'!A:E,5,FALSE)</f>
        <v>Quickdraw-AR</v>
      </c>
      <c r="D257" t="str">
        <f>VLOOKUP(A257,'Fox1'!A:F,6,FALSE)</f>
        <v>Ergonomic handle for faster aiming.</v>
      </c>
      <c r="E257">
        <f t="shared" si="6"/>
        <v>3</v>
      </c>
      <c r="F257">
        <f t="shared" si="7"/>
        <v>307</v>
      </c>
      <c r="G257" t="str">
        <f>VLOOKUP(E257,DATA!A:C,3,FALSE)</f>
        <v>挂件</v>
      </c>
      <c r="H257" t="str">
        <f>VLOOKUP(MID(A257,LEN(A257)-2,1)*1,DATA!G:H,2,FALSE)</f>
        <v>PVP</v>
      </c>
      <c r="I257" t="str">
        <f>VLOOKUP(F257,DATA!B:D,3,FALSE)</f>
        <v>挂件</v>
      </c>
    </row>
    <row r="258" spans="1:9" x14ac:dyDescent="0.15">
      <c r="A258">
        <v>30704002</v>
      </c>
      <c r="B258">
        <f>VLOOKUP(A258,'Fox1'!A:F,2,FALSE)</f>
        <v>1</v>
      </c>
      <c r="C258" t="str">
        <f>VLOOKUP(A258,'Fox1'!A:E,5,FALSE)</f>
        <v>Quickdraw-AR</v>
      </c>
      <c r="D258" t="str">
        <f>VLOOKUP(A258,'Fox1'!A:F,6,FALSE)</f>
        <v>Ergonomic handle for faster aiming.</v>
      </c>
      <c r="E258">
        <f t="shared" ref="E258:E321" si="8">LEFT(A258,LEN(A258)-7)*1</f>
        <v>3</v>
      </c>
      <c r="F258">
        <f t="shared" ref="F258:F321" si="9">LEFT(A258,LEN(A258)-5)*1</f>
        <v>307</v>
      </c>
      <c r="G258" t="str">
        <f>VLOOKUP(E258,DATA!A:C,3,FALSE)</f>
        <v>挂件</v>
      </c>
      <c r="H258" t="str">
        <f>VLOOKUP(MID(A258,LEN(A258)-2,1)*1,DATA!G:H,2,FALSE)</f>
        <v>PVP</v>
      </c>
      <c r="I258" t="str">
        <f>VLOOKUP(F258,DATA!B:D,3,FALSE)</f>
        <v>挂件</v>
      </c>
    </row>
    <row r="259" spans="1:9" x14ac:dyDescent="0.15">
      <c r="A259">
        <v>30704003</v>
      </c>
      <c r="B259">
        <f>VLOOKUP(A259,'Fox1'!A:F,2,FALSE)</f>
        <v>4</v>
      </c>
      <c r="C259" t="str">
        <f>VLOOKUP(A259,'Fox1'!A:E,5,FALSE)</f>
        <v>Quickdraw-AR</v>
      </c>
      <c r="D259" t="str">
        <f>VLOOKUP(A259,'Fox1'!A:F,6,FALSE)</f>
        <v>Ergonomic handle for faster aiming.</v>
      </c>
      <c r="E259">
        <f t="shared" si="8"/>
        <v>3</v>
      </c>
      <c r="F259">
        <f t="shared" si="9"/>
        <v>307</v>
      </c>
      <c r="G259" t="str">
        <f>VLOOKUP(E259,DATA!A:C,3,FALSE)</f>
        <v>挂件</v>
      </c>
      <c r="H259" t="str">
        <f>VLOOKUP(MID(A259,LEN(A259)-2,1)*1,DATA!G:H,2,FALSE)</f>
        <v>PVP</v>
      </c>
      <c r="I259" t="str">
        <f>VLOOKUP(F259,DATA!B:D,3,FALSE)</f>
        <v>挂件</v>
      </c>
    </row>
    <row r="260" spans="1:9" x14ac:dyDescent="0.15">
      <c r="A260">
        <v>30704004</v>
      </c>
      <c r="B260">
        <f>VLOOKUP(A260,'Fox1'!A:F,2,FALSE)</f>
        <v>5</v>
      </c>
      <c r="C260" t="str">
        <f>VLOOKUP(A260,'Fox1'!A:E,5,FALSE)</f>
        <v>Quickdraw-AR</v>
      </c>
      <c r="D260" t="str">
        <f>VLOOKUP(A260,'Fox1'!A:F,6,FALSE)</f>
        <v>Ergonomic handle for faster aiming.</v>
      </c>
      <c r="E260">
        <f t="shared" si="8"/>
        <v>3</v>
      </c>
      <c r="F260">
        <f t="shared" si="9"/>
        <v>307</v>
      </c>
      <c r="G260" t="str">
        <f>VLOOKUP(E260,DATA!A:C,3,FALSE)</f>
        <v>挂件</v>
      </c>
      <c r="H260" t="str">
        <f>VLOOKUP(MID(A260,LEN(A260)-2,1)*1,DATA!G:H,2,FALSE)</f>
        <v>PVP</v>
      </c>
      <c r="I260" t="str">
        <f>VLOOKUP(F260,DATA!B:D,3,FALSE)</f>
        <v>挂件</v>
      </c>
    </row>
    <row r="261" spans="1:9" x14ac:dyDescent="0.15">
      <c r="A261">
        <v>30704005</v>
      </c>
      <c r="B261">
        <f>VLOOKUP(A261,'Fox1'!A:F,2,FALSE)</f>
        <v>2</v>
      </c>
      <c r="C261" t="str">
        <f>VLOOKUP(A261,'Fox1'!A:E,5,FALSE)</f>
        <v>Quickdraw-SMG</v>
      </c>
      <c r="D261" t="str">
        <f>VLOOKUP(A261,'Fox1'!A:F,6,FALSE)</f>
        <v>Ergonomic handle for faster aiming.</v>
      </c>
      <c r="E261">
        <f t="shared" si="8"/>
        <v>3</v>
      </c>
      <c r="F261">
        <f t="shared" si="9"/>
        <v>307</v>
      </c>
      <c r="G261" t="str">
        <f>VLOOKUP(E261,DATA!A:C,3,FALSE)</f>
        <v>挂件</v>
      </c>
      <c r="H261" t="str">
        <f>VLOOKUP(MID(A261,LEN(A261)-2,1)*1,DATA!G:H,2,FALSE)</f>
        <v>PVP</v>
      </c>
      <c r="I261" t="str">
        <f>VLOOKUP(F261,DATA!B:D,3,FALSE)</f>
        <v>挂件</v>
      </c>
    </row>
    <row r="262" spans="1:9" x14ac:dyDescent="0.15">
      <c r="A262">
        <v>30704006</v>
      </c>
      <c r="B262">
        <f>VLOOKUP(A262,'Fox1'!A:F,2,FALSE)</f>
        <v>1</v>
      </c>
      <c r="C262" t="str">
        <f>VLOOKUP(A262,'Fox1'!A:E,5,FALSE)</f>
        <v>Quickdraw-SMG</v>
      </c>
      <c r="D262" t="str">
        <f>VLOOKUP(A262,'Fox1'!A:F,6,FALSE)</f>
        <v>Ergonomic handle for faster aiming.</v>
      </c>
      <c r="E262">
        <f t="shared" si="8"/>
        <v>3</v>
      </c>
      <c r="F262">
        <f t="shared" si="9"/>
        <v>307</v>
      </c>
      <c r="G262" t="str">
        <f>VLOOKUP(E262,DATA!A:C,3,FALSE)</f>
        <v>挂件</v>
      </c>
      <c r="H262" t="str">
        <f>VLOOKUP(MID(A262,LEN(A262)-2,1)*1,DATA!G:H,2,FALSE)</f>
        <v>PVP</v>
      </c>
      <c r="I262" t="str">
        <f>VLOOKUP(F262,DATA!B:D,3,FALSE)</f>
        <v>挂件</v>
      </c>
    </row>
    <row r="263" spans="1:9" x14ac:dyDescent="0.15">
      <c r="A263">
        <v>30704007</v>
      </c>
      <c r="B263">
        <f>VLOOKUP(A263,'Fox1'!A:F,2,FALSE)</f>
        <v>4</v>
      </c>
      <c r="C263" t="str">
        <f>VLOOKUP(A263,'Fox1'!A:E,5,FALSE)</f>
        <v>Quickdraw-SMG</v>
      </c>
      <c r="D263" t="str">
        <f>VLOOKUP(A263,'Fox1'!A:F,6,FALSE)</f>
        <v>Ergonomic handle for faster aiming.</v>
      </c>
      <c r="E263">
        <f t="shared" si="8"/>
        <v>3</v>
      </c>
      <c r="F263">
        <f t="shared" si="9"/>
        <v>307</v>
      </c>
      <c r="G263" t="str">
        <f>VLOOKUP(E263,DATA!A:C,3,FALSE)</f>
        <v>挂件</v>
      </c>
      <c r="H263" t="str">
        <f>VLOOKUP(MID(A263,LEN(A263)-2,1)*1,DATA!G:H,2,FALSE)</f>
        <v>PVP</v>
      </c>
      <c r="I263" t="str">
        <f>VLOOKUP(F263,DATA!B:D,3,FALSE)</f>
        <v>挂件</v>
      </c>
    </row>
    <row r="264" spans="1:9" x14ac:dyDescent="0.15">
      <c r="A264">
        <v>30704008</v>
      </c>
      <c r="B264">
        <f>VLOOKUP(A264,'Fox1'!A:F,2,FALSE)</f>
        <v>5</v>
      </c>
      <c r="C264" t="str">
        <f>VLOOKUP(A264,'Fox1'!A:E,5,FALSE)</f>
        <v>Quickdraw-SMG</v>
      </c>
      <c r="D264" t="str">
        <f>VLOOKUP(A264,'Fox1'!A:F,6,FALSE)</f>
        <v>Ergonomic handle for faster aiming.</v>
      </c>
      <c r="E264">
        <f t="shared" si="8"/>
        <v>3</v>
      </c>
      <c r="F264">
        <f t="shared" si="9"/>
        <v>307</v>
      </c>
      <c r="G264" t="str">
        <f>VLOOKUP(E264,DATA!A:C,3,FALSE)</f>
        <v>挂件</v>
      </c>
      <c r="H264" t="str">
        <f>VLOOKUP(MID(A264,LEN(A264)-2,1)*1,DATA!G:H,2,FALSE)</f>
        <v>PVP</v>
      </c>
      <c r="I264" t="str">
        <f>VLOOKUP(F264,DATA!B:D,3,FALSE)</f>
        <v>挂件</v>
      </c>
    </row>
    <row r="265" spans="1:9" x14ac:dyDescent="0.15">
      <c r="A265">
        <v>30704009</v>
      </c>
      <c r="B265">
        <f>VLOOKUP(A265,'Fox1'!A:F,2,FALSE)</f>
        <v>2</v>
      </c>
      <c r="C265" t="str">
        <f>VLOOKUP(A265,'Fox1'!A:E,5,FALSE)</f>
        <v>Quickdraw-LMG</v>
      </c>
      <c r="D265" t="str">
        <f>VLOOKUP(A265,'Fox1'!A:F,6,FALSE)</f>
        <v>Ergonomic handle for faster aiming.</v>
      </c>
      <c r="E265">
        <f t="shared" si="8"/>
        <v>3</v>
      </c>
      <c r="F265">
        <f t="shared" si="9"/>
        <v>307</v>
      </c>
      <c r="G265" t="str">
        <f>VLOOKUP(E265,DATA!A:C,3,FALSE)</f>
        <v>挂件</v>
      </c>
      <c r="H265" t="str">
        <f>VLOOKUP(MID(A265,LEN(A265)-2,1)*1,DATA!G:H,2,FALSE)</f>
        <v>PVP</v>
      </c>
      <c r="I265" t="str">
        <f>VLOOKUP(F265,DATA!B:D,3,FALSE)</f>
        <v>挂件</v>
      </c>
    </row>
    <row r="266" spans="1:9" x14ac:dyDescent="0.15">
      <c r="A266">
        <v>30704010</v>
      </c>
      <c r="B266">
        <f>VLOOKUP(A266,'Fox1'!A:F,2,FALSE)</f>
        <v>1</v>
      </c>
      <c r="C266" t="str">
        <f>VLOOKUP(A266,'Fox1'!A:E,5,FALSE)</f>
        <v>Quickdraw-LMG</v>
      </c>
      <c r="D266" t="str">
        <f>VLOOKUP(A266,'Fox1'!A:F,6,FALSE)</f>
        <v>Ergonomic handle for faster aiming.</v>
      </c>
      <c r="E266">
        <f t="shared" si="8"/>
        <v>3</v>
      </c>
      <c r="F266">
        <f t="shared" si="9"/>
        <v>307</v>
      </c>
      <c r="G266" t="str">
        <f>VLOOKUP(E266,DATA!A:C,3,FALSE)</f>
        <v>挂件</v>
      </c>
      <c r="H266" t="str">
        <f>VLOOKUP(MID(A266,LEN(A266)-2,1)*1,DATA!G:H,2,FALSE)</f>
        <v>PVP</v>
      </c>
      <c r="I266" t="str">
        <f>VLOOKUP(F266,DATA!B:D,3,FALSE)</f>
        <v>挂件</v>
      </c>
    </row>
    <row r="267" spans="1:9" x14ac:dyDescent="0.15">
      <c r="A267">
        <v>30704011</v>
      </c>
      <c r="B267">
        <f>VLOOKUP(A267,'Fox1'!A:F,2,FALSE)</f>
        <v>4</v>
      </c>
      <c r="C267" t="str">
        <f>VLOOKUP(A267,'Fox1'!A:E,5,FALSE)</f>
        <v>Quickdraw-LMG</v>
      </c>
      <c r="D267" t="str">
        <f>VLOOKUP(A267,'Fox1'!A:F,6,FALSE)</f>
        <v>Ergonomic handle for faster aiming.</v>
      </c>
      <c r="E267">
        <f t="shared" si="8"/>
        <v>3</v>
      </c>
      <c r="F267">
        <f t="shared" si="9"/>
        <v>307</v>
      </c>
      <c r="G267" t="str">
        <f>VLOOKUP(E267,DATA!A:C,3,FALSE)</f>
        <v>挂件</v>
      </c>
      <c r="H267" t="str">
        <f>VLOOKUP(MID(A267,LEN(A267)-2,1)*1,DATA!G:H,2,FALSE)</f>
        <v>PVP</v>
      </c>
      <c r="I267" t="str">
        <f>VLOOKUP(F267,DATA!B:D,3,FALSE)</f>
        <v>挂件</v>
      </c>
    </row>
    <row r="268" spans="1:9" x14ac:dyDescent="0.15">
      <c r="A268">
        <v>30704012</v>
      </c>
      <c r="B268">
        <f>VLOOKUP(A268,'Fox1'!A:F,2,FALSE)</f>
        <v>5</v>
      </c>
      <c r="C268" t="str">
        <f>VLOOKUP(A268,'Fox1'!A:E,5,FALSE)</f>
        <v>Quickdraw-LMG</v>
      </c>
      <c r="D268" t="str">
        <f>VLOOKUP(A268,'Fox1'!A:F,6,FALSE)</f>
        <v>Ergonomic handle for faster aiming.</v>
      </c>
      <c r="E268">
        <f t="shared" si="8"/>
        <v>3</v>
      </c>
      <c r="F268">
        <f t="shared" si="9"/>
        <v>307</v>
      </c>
      <c r="G268" t="str">
        <f>VLOOKUP(E268,DATA!A:C,3,FALSE)</f>
        <v>挂件</v>
      </c>
      <c r="H268" t="str">
        <f>VLOOKUP(MID(A268,LEN(A268)-2,1)*1,DATA!G:H,2,FALSE)</f>
        <v>PVP</v>
      </c>
      <c r="I268" t="str">
        <f>VLOOKUP(F268,DATA!B:D,3,FALSE)</f>
        <v>挂件</v>
      </c>
    </row>
    <row r="269" spans="1:9" x14ac:dyDescent="0.15">
      <c r="A269">
        <v>30704013</v>
      </c>
      <c r="B269" t="e">
        <f>VLOOKUP(A269,'Fox1'!A:F,2,FALSE)</f>
        <v>#N/A</v>
      </c>
      <c r="C269" t="e">
        <f>VLOOKUP(A269,'Fox1'!A:E,5,FALSE)</f>
        <v>#N/A</v>
      </c>
      <c r="D269" t="e">
        <f>VLOOKUP(A269,'Fox1'!A:F,6,FALSE)</f>
        <v>#N/A</v>
      </c>
      <c r="E269">
        <f t="shared" si="8"/>
        <v>3</v>
      </c>
      <c r="F269">
        <f t="shared" si="9"/>
        <v>307</v>
      </c>
      <c r="G269" t="str">
        <f>VLOOKUP(E269,DATA!A:C,3,FALSE)</f>
        <v>挂件</v>
      </c>
      <c r="H269" t="str">
        <f>VLOOKUP(MID(A269,LEN(A269)-2,1)*1,DATA!G:H,2,FALSE)</f>
        <v>PVP</v>
      </c>
      <c r="I269" t="str">
        <f>VLOOKUP(F269,DATA!B:D,3,FALSE)</f>
        <v>挂件</v>
      </c>
    </row>
    <row r="270" spans="1:9" x14ac:dyDescent="0.15">
      <c r="A270">
        <v>30704014</v>
      </c>
      <c r="B270" t="e">
        <f>VLOOKUP(A270,'Fox1'!A:F,2,FALSE)</f>
        <v>#N/A</v>
      </c>
      <c r="C270" t="e">
        <f>VLOOKUP(A270,'Fox1'!A:E,5,FALSE)</f>
        <v>#N/A</v>
      </c>
      <c r="D270" t="e">
        <f>VLOOKUP(A270,'Fox1'!A:F,6,FALSE)</f>
        <v>#N/A</v>
      </c>
      <c r="E270">
        <f t="shared" si="8"/>
        <v>3</v>
      </c>
      <c r="F270">
        <f t="shared" si="9"/>
        <v>307</v>
      </c>
      <c r="G270" t="str">
        <f>VLOOKUP(E270,DATA!A:C,3,FALSE)</f>
        <v>挂件</v>
      </c>
      <c r="H270" t="str">
        <f>VLOOKUP(MID(A270,LEN(A270)-2,1)*1,DATA!G:H,2,FALSE)</f>
        <v>PVP</v>
      </c>
      <c r="I270" t="str">
        <f>VLOOKUP(F270,DATA!B:D,3,FALSE)</f>
        <v>挂件</v>
      </c>
    </row>
    <row r="271" spans="1:9" x14ac:dyDescent="0.15">
      <c r="A271">
        <v>30704015</v>
      </c>
      <c r="B271" t="e">
        <f>VLOOKUP(A271,'Fox1'!A:F,2,FALSE)</f>
        <v>#N/A</v>
      </c>
      <c r="C271" t="e">
        <f>VLOOKUP(A271,'Fox1'!A:E,5,FALSE)</f>
        <v>#N/A</v>
      </c>
      <c r="D271" t="e">
        <f>VLOOKUP(A271,'Fox1'!A:F,6,FALSE)</f>
        <v>#N/A</v>
      </c>
      <c r="E271">
        <f t="shared" si="8"/>
        <v>3</v>
      </c>
      <c r="F271">
        <f t="shared" si="9"/>
        <v>307</v>
      </c>
      <c r="G271" t="str">
        <f>VLOOKUP(E271,DATA!A:C,3,FALSE)</f>
        <v>挂件</v>
      </c>
      <c r="H271" t="str">
        <f>VLOOKUP(MID(A271,LEN(A271)-2,1)*1,DATA!G:H,2,FALSE)</f>
        <v>PVP</v>
      </c>
      <c r="I271" t="str">
        <f>VLOOKUP(F271,DATA!B:D,3,FALSE)</f>
        <v>挂件</v>
      </c>
    </row>
    <row r="272" spans="1:9" x14ac:dyDescent="0.15">
      <c r="A272">
        <v>30704016</v>
      </c>
      <c r="B272" t="e">
        <f>VLOOKUP(A272,'Fox1'!A:F,2,FALSE)</f>
        <v>#N/A</v>
      </c>
      <c r="C272" t="e">
        <f>VLOOKUP(A272,'Fox1'!A:E,5,FALSE)</f>
        <v>#N/A</v>
      </c>
      <c r="D272" t="e">
        <f>VLOOKUP(A272,'Fox1'!A:F,6,FALSE)</f>
        <v>#N/A</v>
      </c>
      <c r="E272">
        <f t="shared" si="8"/>
        <v>3</v>
      </c>
      <c r="F272">
        <f t="shared" si="9"/>
        <v>307</v>
      </c>
      <c r="G272" t="str">
        <f>VLOOKUP(E272,DATA!A:C,3,FALSE)</f>
        <v>挂件</v>
      </c>
      <c r="H272" t="str">
        <f>VLOOKUP(MID(A272,LEN(A272)-2,1)*1,DATA!G:H,2,FALSE)</f>
        <v>PVP</v>
      </c>
      <c r="I272" t="str">
        <f>VLOOKUP(F272,DATA!B:D,3,FALSE)</f>
        <v>挂件</v>
      </c>
    </row>
    <row r="273" spans="1:9" x14ac:dyDescent="0.15">
      <c r="A273">
        <v>30705001</v>
      </c>
      <c r="B273">
        <f>VLOOKUP(A273,'Fox1'!A:F,2,FALSE)</f>
        <v>2</v>
      </c>
      <c r="C273" t="str">
        <f>VLOOKUP(A273,'Fox1'!A:E,5,FALSE)</f>
        <v>Zoom-SR</v>
      </c>
      <c r="D273" t="str">
        <f>VLOOKUP(A273,'Fox1'!A:F,6,FALSE)</f>
        <v>While scoped in,can adjust between 2 different zoom levels</v>
      </c>
      <c r="E273">
        <f t="shared" si="8"/>
        <v>3</v>
      </c>
      <c r="F273">
        <f t="shared" si="9"/>
        <v>307</v>
      </c>
      <c r="G273" t="str">
        <f>VLOOKUP(E273,DATA!A:C,3,FALSE)</f>
        <v>挂件</v>
      </c>
      <c r="H273" t="str">
        <f>VLOOKUP(MID(A273,LEN(A273)-2,1)*1,DATA!G:H,2,FALSE)</f>
        <v>PVP</v>
      </c>
      <c r="I273" t="str">
        <f>VLOOKUP(F273,DATA!B:D,3,FALSE)</f>
        <v>挂件</v>
      </c>
    </row>
    <row r="274" spans="1:9" x14ac:dyDescent="0.15">
      <c r="A274">
        <v>30705002</v>
      </c>
      <c r="B274">
        <f>VLOOKUP(A274,'Fox1'!A:F,2,FALSE)</f>
        <v>1</v>
      </c>
      <c r="C274" t="str">
        <f>VLOOKUP(A274,'Fox1'!A:E,5,FALSE)</f>
        <v>Zoom-SR</v>
      </c>
      <c r="D274" t="str">
        <f>VLOOKUP(A274,'Fox1'!A:F,6,FALSE)</f>
        <v>While scoped in,can adjust between 2 different zoom levels</v>
      </c>
      <c r="E274">
        <f t="shared" si="8"/>
        <v>3</v>
      </c>
      <c r="F274">
        <f t="shared" si="9"/>
        <v>307</v>
      </c>
      <c r="G274" t="str">
        <f>VLOOKUP(E274,DATA!A:C,3,FALSE)</f>
        <v>挂件</v>
      </c>
      <c r="H274" t="str">
        <f>VLOOKUP(MID(A274,LEN(A274)-2,1)*1,DATA!G:H,2,FALSE)</f>
        <v>PVP</v>
      </c>
      <c r="I274" t="str">
        <f>VLOOKUP(F274,DATA!B:D,3,FALSE)</f>
        <v>挂件</v>
      </c>
    </row>
    <row r="275" spans="1:9" x14ac:dyDescent="0.15">
      <c r="A275">
        <v>30705003</v>
      </c>
      <c r="B275">
        <f>VLOOKUP(A275,'Fox1'!A:F,2,FALSE)</f>
        <v>4</v>
      </c>
      <c r="C275" t="str">
        <f>VLOOKUP(A275,'Fox1'!A:E,5,FALSE)</f>
        <v>Zoom-SR</v>
      </c>
      <c r="D275" t="str">
        <f>VLOOKUP(A275,'Fox1'!A:F,6,FALSE)</f>
        <v>While scoped in,can adjust between 2 different zoom levels</v>
      </c>
      <c r="E275">
        <f t="shared" si="8"/>
        <v>3</v>
      </c>
      <c r="F275">
        <f t="shared" si="9"/>
        <v>307</v>
      </c>
      <c r="G275" t="str">
        <f>VLOOKUP(E275,DATA!A:C,3,FALSE)</f>
        <v>挂件</v>
      </c>
      <c r="H275" t="str">
        <f>VLOOKUP(MID(A275,LEN(A275)-2,1)*1,DATA!G:H,2,FALSE)</f>
        <v>PVP</v>
      </c>
      <c r="I275" t="str">
        <f>VLOOKUP(F275,DATA!B:D,3,FALSE)</f>
        <v>挂件</v>
      </c>
    </row>
    <row r="276" spans="1:9" x14ac:dyDescent="0.15">
      <c r="A276">
        <v>30705004</v>
      </c>
      <c r="B276">
        <f>VLOOKUP(A276,'Fox1'!A:F,2,FALSE)</f>
        <v>5</v>
      </c>
      <c r="C276" t="str">
        <f>VLOOKUP(A276,'Fox1'!A:E,5,FALSE)</f>
        <v>Zoom-SR</v>
      </c>
      <c r="D276" t="str">
        <f>VLOOKUP(A276,'Fox1'!A:F,6,FALSE)</f>
        <v>While scoped in,can adjust between 2 different zoom levels</v>
      </c>
      <c r="E276">
        <f t="shared" si="8"/>
        <v>3</v>
      </c>
      <c r="F276">
        <f t="shared" si="9"/>
        <v>307</v>
      </c>
      <c r="G276" t="str">
        <f>VLOOKUP(E276,DATA!A:C,3,FALSE)</f>
        <v>挂件</v>
      </c>
      <c r="H276" t="str">
        <f>VLOOKUP(MID(A276,LEN(A276)-2,1)*1,DATA!G:H,2,FALSE)</f>
        <v>PVP</v>
      </c>
      <c r="I276" t="str">
        <f>VLOOKUP(F276,DATA!B:D,3,FALSE)</f>
        <v>挂件</v>
      </c>
    </row>
    <row r="277" spans="1:9" x14ac:dyDescent="0.15">
      <c r="A277">
        <v>30801001</v>
      </c>
      <c r="B277">
        <f>VLOOKUP(A277,'Fox1'!A:F,2,FALSE)</f>
        <v>2</v>
      </c>
      <c r="C277" t="str">
        <f>VLOOKUP(A277,'Fox1'!A:E,5,FALSE)</f>
        <v>Red Dot-AR</v>
      </c>
      <c r="D277" t="str">
        <f>VLOOKUP(A277,'Fox1'!A:F,6,FALSE)</f>
        <v>Precision red dot sight.</v>
      </c>
      <c r="E277">
        <f t="shared" si="8"/>
        <v>3</v>
      </c>
      <c r="F277">
        <f t="shared" si="9"/>
        <v>308</v>
      </c>
      <c r="G277" t="str">
        <f>VLOOKUP(E277,DATA!A:C,3,FALSE)</f>
        <v>挂件</v>
      </c>
      <c r="H277" t="str">
        <f>VLOOKUP(MID(A277,LEN(A277)-2,1)*1,DATA!G:H,2,FALSE)</f>
        <v>PVP</v>
      </c>
      <c r="I277" t="str">
        <f>VLOOKUP(F277,DATA!B:D,3,FALSE)</f>
        <v>挂件</v>
      </c>
    </row>
    <row r="278" spans="1:9" x14ac:dyDescent="0.15">
      <c r="A278">
        <v>30801002</v>
      </c>
      <c r="B278">
        <f>VLOOKUP(A278,'Fox1'!A:F,2,FALSE)</f>
        <v>1</v>
      </c>
      <c r="C278" t="str">
        <f>VLOOKUP(A278,'Fox1'!A:E,5,FALSE)</f>
        <v>Red Dot-AR</v>
      </c>
      <c r="D278" t="str">
        <f>VLOOKUP(A278,'Fox1'!A:F,6,FALSE)</f>
        <v>Precision red dot sight.</v>
      </c>
      <c r="E278">
        <f t="shared" si="8"/>
        <v>3</v>
      </c>
      <c r="F278">
        <f t="shared" si="9"/>
        <v>308</v>
      </c>
      <c r="G278" t="str">
        <f>VLOOKUP(E278,DATA!A:C,3,FALSE)</f>
        <v>挂件</v>
      </c>
      <c r="H278" t="str">
        <f>VLOOKUP(MID(A278,LEN(A278)-2,1)*1,DATA!G:H,2,FALSE)</f>
        <v>PVP</v>
      </c>
      <c r="I278" t="str">
        <f>VLOOKUP(F278,DATA!B:D,3,FALSE)</f>
        <v>挂件</v>
      </c>
    </row>
    <row r="279" spans="1:9" x14ac:dyDescent="0.15">
      <c r="A279">
        <v>30801003</v>
      </c>
      <c r="B279">
        <f>VLOOKUP(A279,'Fox1'!A:F,2,FALSE)</f>
        <v>4</v>
      </c>
      <c r="C279" t="str">
        <f>VLOOKUP(A279,'Fox1'!A:E,5,FALSE)</f>
        <v>Red Dot-AR</v>
      </c>
      <c r="D279" t="str">
        <f>VLOOKUP(A279,'Fox1'!A:F,6,FALSE)</f>
        <v>Precision red dot sight.</v>
      </c>
      <c r="E279">
        <f t="shared" si="8"/>
        <v>3</v>
      </c>
      <c r="F279">
        <f t="shared" si="9"/>
        <v>308</v>
      </c>
      <c r="G279" t="str">
        <f>VLOOKUP(E279,DATA!A:C,3,FALSE)</f>
        <v>挂件</v>
      </c>
      <c r="H279" t="str">
        <f>VLOOKUP(MID(A279,LEN(A279)-2,1)*1,DATA!G:H,2,FALSE)</f>
        <v>PVP</v>
      </c>
      <c r="I279" t="str">
        <f>VLOOKUP(F279,DATA!B:D,3,FALSE)</f>
        <v>挂件</v>
      </c>
    </row>
    <row r="280" spans="1:9" x14ac:dyDescent="0.15">
      <c r="A280">
        <v>30801004</v>
      </c>
      <c r="B280">
        <f>VLOOKUP(A280,'Fox1'!A:F,2,FALSE)</f>
        <v>5</v>
      </c>
      <c r="C280" t="str">
        <f>VLOOKUP(A280,'Fox1'!A:E,5,FALSE)</f>
        <v>Red Dot-AR</v>
      </c>
      <c r="D280" t="str">
        <f>VLOOKUP(A280,'Fox1'!A:F,6,FALSE)</f>
        <v>Precision red dot sight.</v>
      </c>
      <c r="E280">
        <f t="shared" si="8"/>
        <v>3</v>
      </c>
      <c r="F280">
        <f t="shared" si="9"/>
        <v>308</v>
      </c>
      <c r="G280" t="str">
        <f>VLOOKUP(E280,DATA!A:C,3,FALSE)</f>
        <v>挂件</v>
      </c>
      <c r="H280" t="str">
        <f>VLOOKUP(MID(A280,LEN(A280)-2,1)*1,DATA!G:H,2,FALSE)</f>
        <v>PVP</v>
      </c>
      <c r="I280" t="str">
        <f>VLOOKUP(F280,DATA!B:D,3,FALSE)</f>
        <v>挂件</v>
      </c>
    </row>
    <row r="281" spans="1:9" x14ac:dyDescent="0.15">
      <c r="A281">
        <v>30801005</v>
      </c>
      <c r="B281">
        <f>VLOOKUP(A281,'Fox1'!A:F,2,FALSE)</f>
        <v>2</v>
      </c>
      <c r="C281" t="str">
        <f>VLOOKUP(A281,'Fox1'!A:E,5,FALSE)</f>
        <v>Red Dot-SMG</v>
      </c>
      <c r="D281" t="str">
        <f>VLOOKUP(A281,'Fox1'!A:F,6,FALSE)</f>
        <v>Precision red dot sight.</v>
      </c>
      <c r="E281">
        <f t="shared" si="8"/>
        <v>3</v>
      </c>
      <c r="F281">
        <f t="shared" si="9"/>
        <v>308</v>
      </c>
      <c r="G281" t="str">
        <f>VLOOKUP(E281,DATA!A:C,3,FALSE)</f>
        <v>挂件</v>
      </c>
      <c r="H281" t="str">
        <f>VLOOKUP(MID(A281,LEN(A281)-2,1)*1,DATA!G:H,2,FALSE)</f>
        <v>PVP</v>
      </c>
      <c r="I281" t="str">
        <f>VLOOKUP(F281,DATA!B:D,3,FALSE)</f>
        <v>挂件</v>
      </c>
    </row>
    <row r="282" spans="1:9" x14ac:dyDescent="0.15">
      <c r="A282">
        <v>30801006</v>
      </c>
      <c r="B282">
        <f>VLOOKUP(A282,'Fox1'!A:F,2,FALSE)</f>
        <v>1</v>
      </c>
      <c r="C282" t="str">
        <f>VLOOKUP(A282,'Fox1'!A:E,5,FALSE)</f>
        <v>Red Dot-SMG</v>
      </c>
      <c r="D282" t="str">
        <f>VLOOKUP(A282,'Fox1'!A:F,6,FALSE)</f>
        <v>Precision red dot sight.</v>
      </c>
      <c r="E282">
        <f t="shared" si="8"/>
        <v>3</v>
      </c>
      <c r="F282">
        <f t="shared" si="9"/>
        <v>308</v>
      </c>
      <c r="G282" t="str">
        <f>VLOOKUP(E282,DATA!A:C,3,FALSE)</f>
        <v>挂件</v>
      </c>
      <c r="H282" t="str">
        <f>VLOOKUP(MID(A282,LEN(A282)-2,1)*1,DATA!G:H,2,FALSE)</f>
        <v>PVP</v>
      </c>
      <c r="I282" t="str">
        <f>VLOOKUP(F282,DATA!B:D,3,FALSE)</f>
        <v>挂件</v>
      </c>
    </row>
    <row r="283" spans="1:9" x14ac:dyDescent="0.15">
      <c r="A283">
        <v>30801007</v>
      </c>
      <c r="B283">
        <f>VLOOKUP(A283,'Fox1'!A:F,2,FALSE)</f>
        <v>4</v>
      </c>
      <c r="C283" t="str">
        <f>VLOOKUP(A283,'Fox1'!A:E,5,FALSE)</f>
        <v>Red Dot-SMG</v>
      </c>
      <c r="D283" t="str">
        <f>VLOOKUP(A283,'Fox1'!A:F,6,FALSE)</f>
        <v>Precision red dot sight.</v>
      </c>
      <c r="E283">
        <f t="shared" si="8"/>
        <v>3</v>
      </c>
      <c r="F283">
        <f t="shared" si="9"/>
        <v>308</v>
      </c>
      <c r="G283" t="str">
        <f>VLOOKUP(E283,DATA!A:C,3,FALSE)</f>
        <v>挂件</v>
      </c>
      <c r="H283" t="str">
        <f>VLOOKUP(MID(A283,LEN(A283)-2,1)*1,DATA!G:H,2,FALSE)</f>
        <v>PVP</v>
      </c>
      <c r="I283" t="str">
        <f>VLOOKUP(F283,DATA!B:D,3,FALSE)</f>
        <v>挂件</v>
      </c>
    </row>
    <row r="284" spans="1:9" x14ac:dyDescent="0.15">
      <c r="A284">
        <v>30801008</v>
      </c>
      <c r="B284">
        <f>VLOOKUP(A284,'Fox1'!A:F,2,FALSE)</f>
        <v>5</v>
      </c>
      <c r="C284" t="str">
        <f>VLOOKUP(A284,'Fox1'!A:E,5,FALSE)</f>
        <v>Red Dot-SMG</v>
      </c>
      <c r="D284" t="str">
        <f>VLOOKUP(A284,'Fox1'!A:F,6,FALSE)</f>
        <v>Precision red dot sight.</v>
      </c>
      <c r="E284">
        <f t="shared" si="8"/>
        <v>3</v>
      </c>
      <c r="F284">
        <f t="shared" si="9"/>
        <v>308</v>
      </c>
      <c r="G284" t="str">
        <f>VLOOKUP(E284,DATA!A:C,3,FALSE)</f>
        <v>挂件</v>
      </c>
      <c r="H284" t="str">
        <f>VLOOKUP(MID(A284,LEN(A284)-2,1)*1,DATA!G:H,2,FALSE)</f>
        <v>PVP</v>
      </c>
      <c r="I284" t="str">
        <f>VLOOKUP(F284,DATA!B:D,3,FALSE)</f>
        <v>挂件</v>
      </c>
    </row>
    <row r="285" spans="1:9" x14ac:dyDescent="0.15">
      <c r="A285">
        <v>30801009</v>
      </c>
      <c r="B285">
        <f>VLOOKUP(A285,'Fox1'!A:F,2,FALSE)</f>
        <v>2</v>
      </c>
      <c r="C285" t="str">
        <f>VLOOKUP(A285,'Fox1'!A:E,5,FALSE)</f>
        <v>Red Dot-LMG</v>
      </c>
      <c r="D285" t="str">
        <f>VLOOKUP(A285,'Fox1'!A:F,6,FALSE)</f>
        <v>Precision red dot sight.</v>
      </c>
      <c r="E285">
        <f t="shared" si="8"/>
        <v>3</v>
      </c>
      <c r="F285">
        <f t="shared" si="9"/>
        <v>308</v>
      </c>
      <c r="G285" t="str">
        <f>VLOOKUP(E285,DATA!A:C,3,FALSE)</f>
        <v>挂件</v>
      </c>
      <c r="H285" t="str">
        <f>VLOOKUP(MID(A285,LEN(A285)-2,1)*1,DATA!G:H,2,FALSE)</f>
        <v>PVP</v>
      </c>
      <c r="I285" t="str">
        <f>VLOOKUP(F285,DATA!B:D,3,FALSE)</f>
        <v>挂件</v>
      </c>
    </row>
    <row r="286" spans="1:9" x14ac:dyDescent="0.15">
      <c r="A286">
        <v>30801010</v>
      </c>
      <c r="B286">
        <f>VLOOKUP(A286,'Fox1'!A:F,2,FALSE)</f>
        <v>1</v>
      </c>
      <c r="C286" t="str">
        <f>VLOOKUP(A286,'Fox1'!A:E,5,FALSE)</f>
        <v>Red Dot-LMG</v>
      </c>
      <c r="D286" t="str">
        <f>VLOOKUP(A286,'Fox1'!A:F,6,FALSE)</f>
        <v>Precision red dot sight.</v>
      </c>
      <c r="E286">
        <f t="shared" si="8"/>
        <v>3</v>
      </c>
      <c r="F286">
        <f t="shared" si="9"/>
        <v>308</v>
      </c>
      <c r="G286" t="str">
        <f>VLOOKUP(E286,DATA!A:C,3,FALSE)</f>
        <v>挂件</v>
      </c>
      <c r="H286" t="str">
        <f>VLOOKUP(MID(A286,LEN(A286)-2,1)*1,DATA!G:H,2,FALSE)</f>
        <v>PVP</v>
      </c>
      <c r="I286" t="str">
        <f>VLOOKUP(F286,DATA!B:D,3,FALSE)</f>
        <v>挂件</v>
      </c>
    </row>
    <row r="287" spans="1:9" x14ac:dyDescent="0.15">
      <c r="A287">
        <v>30801011</v>
      </c>
      <c r="B287">
        <f>VLOOKUP(A287,'Fox1'!A:F,2,FALSE)</f>
        <v>4</v>
      </c>
      <c r="C287" t="str">
        <f>VLOOKUP(A287,'Fox1'!A:E,5,FALSE)</f>
        <v>Red Dot-LMG</v>
      </c>
      <c r="D287" t="str">
        <f>VLOOKUP(A287,'Fox1'!A:F,6,FALSE)</f>
        <v>Precision red dot sight.</v>
      </c>
      <c r="E287">
        <f t="shared" si="8"/>
        <v>3</v>
      </c>
      <c r="F287">
        <f t="shared" si="9"/>
        <v>308</v>
      </c>
      <c r="G287" t="str">
        <f>VLOOKUP(E287,DATA!A:C,3,FALSE)</f>
        <v>挂件</v>
      </c>
      <c r="H287" t="str">
        <f>VLOOKUP(MID(A287,LEN(A287)-2,1)*1,DATA!G:H,2,FALSE)</f>
        <v>PVP</v>
      </c>
      <c r="I287" t="str">
        <f>VLOOKUP(F287,DATA!B:D,3,FALSE)</f>
        <v>挂件</v>
      </c>
    </row>
    <row r="288" spans="1:9" x14ac:dyDescent="0.15">
      <c r="A288">
        <v>30801012</v>
      </c>
      <c r="B288">
        <f>VLOOKUP(A288,'Fox1'!A:F,2,FALSE)</f>
        <v>5</v>
      </c>
      <c r="C288" t="str">
        <f>VLOOKUP(A288,'Fox1'!A:E,5,FALSE)</f>
        <v>Red Dot-LMG</v>
      </c>
      <c r="D288" t="str">
        <f>VLOOKUP(A288,'Fox1'!A:F,6,FALSE)</f>
        <v>Precision red dot sight.</v>
      </c>
      <c r="E288">
        <f t="shared" si="8"/>
        <v>3</v>
      </c>
      <c r="F288">
        <f t="shared" si="9"/>
        <v>308</v>
      </c>
      <c r="G288" t="str">
        <f>VLOOKUP(E288,DATA!A:C,3,FALSE)</f>
        <v>挂件</v>
      </c>
      <c r="H288" t="str">
        <f>VLOOKUP(MID(A288,LEN(A288)-2,1)*1,DATA!G:H,2,FALSE)</f>
        <v>PVP</v>
      </c>
      <c r="I288" t="str">
        <f>VLOOKUP(F288,DATA!B:D,3,FALSE)</f>
        <v>挂件</v>
      </c>
    </row>
    <row r="289" spans="1:9" x14ac:dyDescent="0.15">
      <c r="A289">
        <v>30802001</v>
      </c>
      <c r="B289">
        <f>VLOOKUP(A289,'Fox1'!A:F,2,FALSE)</f>
        <v>2</v>
      </c>
      <c r="C289" t="str">
        <f>VLOOKUP(A289,'Fox1'!A:E,5,FALSE)</f>
        <v>Holographic Sight-AR</v>
      </c>
      <c r="D289" t="str">
        <f>VLOOKUP(A289,'Fox1'!A:F,6,FALSE)</f>
        <v>Provides a clearer view of the target than a reflex, but with less peripheral vision.</v>
      </c>
      <c r="E289">
        <f t="shared" si="8"/>
        <v>3</v>
      </c>
      <c r="F289">
        <f t="shared" si="9"/>
        <v>308</v>
      </c>
      <c r="G289" t="str">
        <f>VLOOKUP(E289,DATA!A:C,3,FALSE)</f>
        <v>挂件</v>
      </c>
      <c r="H289" t="str">
        <f>VLOOKUP(MID(A289,LEN(A289)-2,1)*1,DATA!G:H,2,FALSE)</f>
        <v>PVP</v>
      </c>
      <c r="I289" t="str">
        <f>VLOOKUP(F289,DATA!B:D,3,FALSE)</f>
        <v>挂件</v>
      </c>
    </row>
    <row r="290" spans="1:9" x14ac:dyDescent="0.15">
      <c r="A290">
        <v>30802002</v>
      </c>
      <c r="B290">
        <f>VLOOKUP(A290,'Fox1'!A:F,2,FALSE)</f>
        <v>1</v>
      </c>
      <c r="C290" t="str">
        <f>VLOOKUP(A290,'Fox1'!A:E,5,FALSE)</f>
        <v>Holographic Sight-AR</v>
      </c>
      <c r="D290" t="str">
        <f>VLOOKUP(A290,'Fox1'!A:F,6,FALSE)</f>
        <v>Provides a clearer view of the target than a reflex, but with less peripheral vision.</v>
      </c>
      <c r="E290">
        <f t="shared" si="8"/>
        <v>3</v>
      </c>
      <c r="F290">
        <f t="shared" si="9"/>
        <v>308</v>
      </c>
      <c r="G290" t="str">
        <f>VLOOKUP(E290,DATA!A:C,3,FALSE)</f>
        <v>挂件</v>
      </c>
      <c r="H290" t="str">
        <f>VLOOKUP(MID(A290,LEN(A290)-2,1)*1,DATA!G:H,2,FALSE)</f>
        <v>PVP</v>
      </c>
      <c r="I290" t="str">
        <f>VLOOKUP(F290,DATA!B:D,3,FALSE)</f>
        <v>挂件</v>
      </c>
    </row>
    <row r="291" spans="1:9" x14ac:dyDescent="0.15">
      <c r="A291">
        <v>30802003</v>
      </c>
      <c r="B291">
        <f>VLOOKUP(A291,'Fox1'!A:F,2,FALSE)</f>
        <v>4</v>
      </c>
      <c r="C291" t="str">
        <f>VLOOKUP(A291,'Fox1'!A:E,5,FALSE)</f>
        <v>Holographic Sight-AR</v>
      </c>
      <c r="D291" t="str">
        <f>VLOOKUP(A291,'Fox1'!A:F,6,FALSE)</f>
        <v>Provides a clearer view of the target than a reflex, but with less peripheral vision.</v>
      </c>
      <c r="E291">
        <f t="shared" si="8"/>
        <v>3</v>
      </c>
      <c r="F291">
        <f t="shared" si="9"/>
        <v>308</v>
      </c>
      <c r="G291" t="str">
        <f>VLOOKUP(E291,DATA!A:C,3,FALSE)</f>
        <v>挂件</v>
      </c>
      <c r="H291" t="str">
        <f>VLOOKUP(MID(A291,LEN(A291)-2,1)*1,DATA!G:H,2,FALSE)</f>
        <v>PVP</v>
      </c>
      <c r="I291" t="str">
        <f>VLOOKUP(F291,DATA!B:D,3,FALSE)</f>
        <v>挂件</v>
      </c>
    </row>
    <row r="292" spans="1:9" x14ac:dyDescent="0.15">
      <c r="A292">
        <v>30802004</v>
      </c>
      <c r="B292">
        <f>VLOOKUP(A292,'Fox1'!A:F,2,FALSE)</f>
        <v>5</v>
      </c>
      <c r="C292" t="str">
        <f>VLOOKUP(A292,'Fox1'!A:E,5,FALSE)</f>
        <v>Holographic Sight-AR</v>
      </c>
      <c r="D292" t="str">
        <f>VLOOKUP(A292,'Fox1'!A:F,6,FALSE)</f>
        <v>Provides a clearer view of the target than a reflex, but with less peripheral vision.</v>
      </c>
      <c r="E292">
        <f t="shared" si="8"/>
        <v>3</v>
      </c>
      <c r="F292">
        <f t="shared" si="9"/>
        <v>308</v>
      </c>
      <c r="G292" t="str">
        <f>VLOOKUP(E292,DATA!A:C,3,FALSE)</f>
        <v>挂件</v>
      </c>
      <c r="H292" t="str">
        <f>VLOOKUP(MID(A292,LEN(A292)-2,1)*1,DATA!G:H,2,FALSE)</f>
        <v>PVP</v>
      </c>
      <c r="I292" t="str">
        <f>VLOOKUP(F292,DATA!B:D,3,FALSE)</f>
        <v>挂件</v>
      </c>
    </row>
    <row r="293" spans="1:9" x14ac:dyDescent="0.15">
      <c r="A293">
        <v>30802005</v>
      </c>
      <c r="B293">
        <f>VLOOKUP(A293,'Fox1'!A:F,2,FALSE)</f>
        <v>2</v>
      </c>
      <c r="C293" t="str">
        <f>VLOOKUP(A293,'Fox1'!A:E,5,FALSE)</f>
        <v>Holographic Sight-SMG</v>
      </c>
      <c r="D293" t="str">
        <f>VLOOKUP(A293,'Fox1'!A:F,6,FALSE)</f>
        <v>Provides a clearer view of the target than a reflex, but with less peripheral vision.</v>
      </c>
      <c r="E293">
        <f t="shared" si="8"/>
        <v>3</v>
      </c>
      <c r="F293">
        <f t="shared" si="9"/>
        <v>308</v>
      </c>
      <c r="G293" t="str">
        <f>VLOOKUP(E293,DATA!A:C,3,FALSE)</f>
        <v>挂件</v>
      </c>
      <c r="H293" t="str">
        <f>VLOOKUP(MID(A293,LEN(A293)-2,1)*1,DATA!G:H,2,FALSE)</f>
        <v>PVP</v>
      </c>
      <c r="I293" t="str">
        <f>VLOOKUP(F293,DATA!B:D,3,FALSE)</f>
        <v>挂件</v>
      </c>
    </row>
    <row r="294" spans="1:9" x14ac:dyDescent="0.15">
      <c r="A294">
        <v>30802006</v>
      </c>
      <c r="B294">
        <f>VLOOKUP(A294,'Fox1'!A:F,2,FALSE)</f>
        <v>1</v>
      </c>
      <c r="C294" t="str">
        <f>VLOOKUP(A294,'Fox1'!A:E,5,FALSE)</f>
        <v>Holographic Sight-SMG</v>
      </c>
      <c r="D294" t="str">
        <f>VLOOKUP(A294,'Fox1'!A:F,6,FALSE)</f>
        <v>Provides a clearer view of the target than a reflex, but with less peripheral vision.</v>
      </c>
      <c r="E294">
        <f t="shared" si="8"/>
        <v>3</v>
      </c>
      <c r="F294">
        <f t="shared" si="9"/>
        <v>308</v>
      </c>
      <c r="G294" t="str">
        <f>VLOOKUP(E294,DATA!A:C,3,FALSE)</f>
        <v>挂件</v>
      </c>
      <c r="H294" t="str">
        <f>VLOOKUP(MID(A294,LEN(A294)-2,1)*1,DATA!G:H,2,FALSE)</f>
        <v>PVP</v>
      </c>
      <c r="I294" t="str">
        <f>VLOOKUP(F294,DATA!B:D,3,FALSE)</f>
        <v>挂件</v>
      </c>
    </row>
    <row r="295" spans="1:9" x14ac:dyDescent="0.15">
      <c r="A295">
        <v>30802007</v>
      </c>
      <c r="B295">
        <f>VLOOKUP(A295,'Fox1'!A:F,2,FALSE)</f>
        <v>4</v>
      </c>
      <c r="C295" t="str">
        <f>VLOOKUP(A295,'Fox1'!A:E,5,FALSE)</f>
        <v>Holographic Sight-SMG</v>
      </c>
      <c r="D295" t="str">
        <f>VLOOKUP(A295,'Fox1'!A:F,6,FALSE)</f>
        <v>Provides a clearer view of the target than a reflex, but with less peripheral vision.</v>
      </c>
      <c r="E295">
        <f t="shared" si="8"/>
        <v>3</v>
      </c>
      <c r="F295">
        <f t="shared" si="9"/>
        <v>308</v>
      </c>
      <c r="G295" t="str">
        <f>VLOOKUP(E295,DATA!A:C,3,FALSE)</f>
        <v>挂件</v>
      </c>
      <c r="H295" t="str">
        <f>VLOOKUP(MID(A295,LEN(A295)-2,1)*1,DATA!G:H,2,FALSE)</f>
        <v>PVP</v>
      </c>
      <c r="I295" t="str">
        <f>VLOOKUP(F295,DATA!B:D,3,FALSE)</f>
        <v>挂件</v>
      </c>
    </row>
    <row r="296" spans="1:9" x14ac:dyDescent="0.15">
      <c r="A296">
        <v>30802008</v>
      </c>
      <c r="B296">
        <f>VLOOKUP(A296,'Fox1'!A:F,2,FALSE)</f>
        <v>5</v>
      </c>
      <c r="C296" t="str">
        <f>VLOOKUP(A296,'Fox1'!A:E,5,FALSE)</f>
        <v>Holographic Sight-SMG</v>
      </c>
      <c r="D296" t="str">
        <f>VLOOKUP(A296,'Fox1'!A:F,6,FALSE)</f>
        <v>Provides a clearer view of the target than a reflex, but with less peripheral vision.</v>
      </c>
      <c r="E296">
        <f t="shared" si="8"/>
        <v>3</v>
      </c>
      <c r="F296">
        <f t="shared" si="9"/>
        <v>308</v>
      </c>
      <c r="G296" t="str">
        <f>VLOOKUP(E296,DATA!A:C,3,FALSE)</f>
        <v>挂件</v>
      </c>
      <c r="H296" t="str">
        <f>VLOOKUP(MID(A296,LEN(A296)-2,1)*1,DATA!G:H,2,FALSE)</f>
        <v>PVP</v>
      </c>
      <c r="I296" t="str">
        <f>VLOOKUP(F296,DATA!B:D,3,FALSE)</f>
        <v>挂件</v>
      </c>
    </row>
    <row r="297" spans="1:9" x14ac:dyDescent="0.15">
      <c r="A297">
        <v>30802009</v>
      </c>
      <c r="B297">
        <f>VLOOKUP(A297,'Fox1'!A:F,2,FALSE)</f>
        <v>2</v>
      </c>
      <c r="C297" t="str">
        <f>VLOOKUP(A297,'Fox1'!A:E,5,FALSE)</f>
        <v>Holographic Sight-LMG</v>
      </c>
      <c r="D297" t="str">
        <f>VLOOKUP(A297,'Fox1'!A:F,6,FALSE)</f>
        <v>Provides a clearer view of the target than a reflex, but with less peripheral vision.</v>
      </c>
      <c r="E297">
        <f t="shared" si="8"/>
        <v>3</v>
      </c>
      <c r="F297">
        <f t="shared" si="9"/>
        <v>308</v>
      </c>
      <c r="G297" t="str">
        <f>VLOOKUP(E297,DATA!A:C,3,FALSE)</f>
        <v>挂件</v>
      </c>
      <c r="H297" t="str">
        <f>VLOOKUP(MID(A297,LEN(A297)-2,1)*1,DATA!G:H,2,FALSE)</f>
        <v>PVP</v>
      </c>
      <c r="I297" t="str">
        <f>VLOOKUP(F297,DATA!B:D,3,FALSE)</f>
        <v>挂件</v>
      </c>
    </row>
    <row r="298" spans="1:9" x14ac:dyDescent="0.15">
      <c r="A298">
        <v>30802010</v>
      </c>
      <c r="B298">
        <f>VLOOKUP(A298,'Fox1'!A:F,2,FALSE)</f>
        <v>1</v>
      </c>
      <c r="C298" t="str">
        <f>VLOOKUP(A298,'Fox1'!A:E,5,FALSE)</f>
        <v>Holographic Sight-LMG</v>
      </c>
      <c r="D298" t="str">
        <f>VLOOKUP(A298,'Fox1'!A:F,6,FALSE)</f>
        <v>Provides a clearer view of the target than a reflex, but with less peripheral vision.</v>
      </c>
      <c r="E298">
        <f t="shared" si="8"/>
        <v>3</v>
      </c>
      <c r="F298">
        <f t="shared" si="9"/>
        <v>308</v>
      </c>
      <c r="G298" t="str">
        <f>VLOOKUP(E298,DATA!A:C,3,FALSE)</f>
        <v>挂件</v>
      </c>
      <c r="H298" t="str">
        <f>VLOOKUP(MID(A298,LEN(A298)-2,1)*1,DATA!G:H,2,FALSE)</f>
        <v>PVP</v>
      </c>
      <c r="I298" t="str">
        <f>VLOOKUP(F298,DATA!B:D,3,FALSE)</f>
        <v>挂件</v>
      </c>
    </row>
    <row r="299" spans="1:9" x14ac:dyDescent="0.15">
      <c r="A299">
        <v>30802011</v>
      </c>
      <c r="B299">
        <f>VLOOKUP(A299,'Fox1'!A:F,2,FALSE)</f>
        <v>4</v>
      </c>
      <c r="C299" t="str">
        <f>VLOOKUP(A299,'Fox1'!A:E,5,FALSE)</f>
        <v>Holographic Sight-LMG</v>
      </c>
      <c r="D299" t="str">
        <f>VLOOKUP(A299,'Fox1'!A:F,6,FALSE)</f>
        <v>Provides a clearer view of the target than a reflex, but with less peripheral vision.</v>
      </c>
      <c r="E299">
        <f t="shared" si="8"/>
        <v>3</v>
      </c>
      <c r="F299">
        <f t="shared" si="9"/>
        <v>308</v>
      </c>
      <c r="G299" t="str">
        <f>VLOOKUP(E299,DATA!A:C,3,FALSE)</f>
        <v>挂件</v>
      </c>
      <c r="H299" t="str">
        <f>VLOOKUP(MID(A299,LEN(A299)-2,1)*1,DATA!G:H,2,FALSE)</f>
        <v>PVP</v>
      </c>
      <c r="I299" t="str">
        <f>VLOOKUP(F299,DATA!B:D,3,FALSE)</f>
        <v>挂件</v>
      </c>
    </row>
    <row r="300" spans="1:9" x14ac:dyDescent="0.15">
      <c r="A300">
        <v>30802012</v>
      </c>
      <c r="B300">
        <f>VLOOKUP(A300,'Fox1'!A:F,2,FALSE)</f>
        <v>5</v>
      </c>
      <c r="C300" t="str">
        <f>VLOOKUP(A300,'Fox1'!A:E,5,FALSE)</f>
        <v>Holographic Sight-LMG</v>
      </c>
      <c r="D300" t="str">
        <f>VLOOKUP(A300,'Fox1'!A:F,6,FALSE)</f>
        <v>Provides a clearer view of the target than a reflex, but with less peripheral vision.</v>
      </c>
      <c r="E300">
        <f t="shared" si="8"/>
        <v>3</v>
      </c>
      <c r="F300">
        <f t="shared" si="9"/>
        <v>308</v>
      </c>
      <c r="G300" t="str">
        <f>VLOOKUP(E300,DATA!A:C,3,FALSE)</f>
        <v>挂件</v>
      </c>
      <c r="H300" t="str">
        <f>VLOOKUP(MID(A300,LEN(A300)-2,1)*1,DATA!G:H,2,FALSE)</f>
        <v>PVP</v>
      </c>
      <c r="I300" t="str">
        <f>VLOOKUP(F300,DATA!B:D,3,FALSE)</f>
        <v>挂件</v>
      </c>
    </row>
    <row r="301" spans="1:9" x14ac:dyDescent="0.15">
      <c r="A301">
        <v>30803001</v>
      </c>
      <c r="B301">
        <f>VLOOKUP(A301,'Fox1'!A:F,2,FALSE)</f>
        <v>2</v>
      </c>
      <c r="C301" t="str">
        <f>VLOOKUP(A301,'Fox1'!A:E,5,FALSE)</f>
        <v>ACOG-AR</v>
      </c>
      <c r="D301" t="str">
        <f>VLOOKUP(A301,'Fox1'!A:F,6,FALSE)</f>
        <v>Enhanced zoom sight.</v>
      </c>
      <c r="E301">
        <f t="shared" si="8"/>
        <v>3</v>
      </c>
      <c r="F301">
        <f t="shared" si="9"/>
        <v>308</v>
      </c>
      <c r="G301" t="str">
        <f>VLOOKUP(E301,DATA!A:C,3,FALSE)</f>
        <v>挂件</v>
      </c>
      <c r="H301" t="str">
        <f>VLOOKUP(MID(A301,LEN(A301)-2,1)*1,DATA!G:H,2,FALSE)</f>
        <v>PVP</v>
      </c>
      <c r="I301" t="str">
        <f>VLOOKUP(F301,DATA!B:D,3,FALSE)</f>
        <v>挂件</v>
      </c>
    </row>
    <row r="302" spans="1:9" x14ac:dyDescent="0.15">
      <c r="A302">
        <v>30803002</v>
      </c>
      <c r="B302">
        <f>VLOOKUP(A302,'Fox1'!A:F,2,FALSE)</f>
        <v>1</v>
      </c>
      <c r="C302" t="str">
        <f>VLOOKUP(A302,'Fox1'!A:E,5,FALSE)</f>
        <v>ACOG-AR</v>
      </c>
      <c r="D302" t="str">
        <f>VLOOKUP(A302,'Fox1'!A:F,6,FALSE)</f>
        <v>Enhanced zoom sight.</v>
      </c>
      <c r="E302">
        <f t="shared" si="8"/>
        <v>3</v>
      </c>
      <c r="F302">
        <f t="shared" si="9"/>
        <v>308</v>
      </c>
      <c r="G302" t="str">
        <f>VLOOKUP(E302,DATA!A:C,3,FALSE)</f>
        <v>挂件</v>
      </c>
      <c r="H302" t="str">
        <f>VLOOKUP(MID(A302,LEN(A302)-2,1)*1,DATA!G:H,2,FALSE)</f>
        <v>PVP</v>
      </c>
      <c r="I302" t="str">
        <f>VLOOKUP(F302,DATA!B:D,3,FALSE)</f>
        <v>挂件</v>
      </c>
    </row>
    <row r="303" spans="1:9" x14ac:dyDescent="0.15">
      <c r="A303">
        <v>30803003</v>
      </c>
      <c r="B303">
        <f>VLOOKUP(A303,'Fox1'!A:F,2,FALSE)</f>
        <v>4</v>
      </c>
      <c r="C303" t="str">
        <f>VLOOKUP(A303,'Fox1'!A:E,5,FALSE)</f>
        <v>ACOG-AR</v>
      </c>
      <c r="D303" t="str">
        <f>VLOOKUP(A303,'Fox1'!A:F,6,FALSE)</f>
        <v>Enhanced zoom sight.</v>
      </c>
      <c r="E303">
        <f t="shared" si="8"/>
        <v>3</v>
      </c>
      <c r="F303">
        <f t="shared" si="9"/>
        <v>308</v>
      </c>
      <c r="G303" t="str">
        <f>VLOOKUP(E303,DATA!A:C,3,FALSE)</f>
        <v>挂件</v>
      </c>
      <c r="H303" t="str">
        <f>VLOOKUP(MID(A303,LEN(A303)-2,1)*1,DATA!G:H,2,FALSE)</f>
        <v>PVP</v>
      </c>
      <c r="I303" t="str">
        <f>VLOOKUP(F303,DATA!B:D,3,FALSE)</f>
        <v>挂件</v>
      </c>
    </row>
    <row r="304" spans="1:9" x14ac:dyDescent="0.15">
      <c r="A304">
        <v>30803004</v>
      </c>
      <c r="B304">
        <f>VLOOKUP(A304,'Fox1'!A:F,2,FALSE)</f>
        <v>5</v>
      </c>
      <c r="C304" t="str">
        <f>VLOOKUP(A304,'Fox1'!A:E,5,FALSE)</f>
        <v>ACOG-AR</v>
      </c>
      <c r="D304" t="str">
        <f>VLOOKUP(A304,'Fox1'!A:F,6,FALSE)</f>
        <v>Enhanced zoom sight.</v>
      </c>
      <c r="E304">
        <f t="shared" si="8"/>
        <v>3</v>
      </c>
      <c r="F304">
        <f t="shared" si="9"/>
        <v>308</v>
      </c>
      <c r="G304" t="str">
        <f>VLOOKUP(E304,DATA!A:C,3,FALSE)</f>
        <v>挂件</v>
      </c>
      <c r="H304" t="str">
        <f>VLOOKUP(MID(A304,LEN(A304)-2,1)*1,DATA!G:H,2,FALSE)</f>
        <v>PVP</v>
      </c>
      <c r="I304" t="str">
        <f>VLOOKUP(F304,DATA!B:D,3,FALSE)</f>
        <v>挂件</v>
      </c>
    </row>
    <row r="305" spans="1:9" x14ac:dyDescent="0.15">
      <c r="A305">
        <v>30803005</v>
      </c>
      <c r="B305">
        <f>VLOOKUP(A305,'Fox1'!A:F,2,FALSE)</f>
        <v>2</v>
      </c>
      <c r="C305" t="str">
        <f>VLOOKUP(A305,'Fox1'!A:E,5,FALSE)</f>
        <v>ACOG-LMG</v>
      </c>
      <c r="D305" t="str">
        <f>VLOOKUP(A305,'Fox1'!A:F,6,FALSE)</f>
        <v>Enhanced zoom sight.</v>
      </c>
      <c r="E305">
        <f t="shared" si="8"/>
        <v>3</v>
      </c>
      <c r="F305">
        <f t="shared" si="9"/>
        <v>308</v>
      </c>
      <c r="G305" t="str">
        <f>VLOOKUP(E305,DATA!A:C,3,FALSE)</f>
        <v>挂件</v>
      </c>
      <c r="H305" t="str">
        <f>VLOOKUP(MID(A305,LEN(A305)-2,1)*1,DATA!G:H,2,FALSE)</f>
        <v>PVP</v>
      </c>
      <c r="I305" t="str">
        <f>VLOOKUP(F305,DATA!B:D,3,FALSE)</f>
        <v>挂件</v>
      </c>
    </row>
    <row r="306" spans="1:9" x14ac:dyDescent="0.15">
      <c r="A306">
        <v>30803006</v>
      </c>
      <c r="B306">
        <f>VLOOKUP(A306,'Fox1'!A:F,2,FALSE)</f>
        <v>1</v>
      </c>
      <c r="C306" t="str">
        <f>VLOOKUP(A306,'Fox1'!A:E,5,FALSE)</f>
        <v>ACOG-LMG</v>
      </c>
      <c r="D306" t="str">
        <f>VLOOKUP(A306,'Fox1'!A:F,6,FALSE)</f>
        <v>Enhanced zoom sight.</v>
      </c>
      <c r="E306">
        <f t="shared" si="8"/>
        <v>3</v>
      </c>
      <c r="F306">
        <f t="shared" si="9"/>
        <v>308</v>
      </c>
      <c r="G306" t="str">
        <f>VLOOKUP(E306,DATA!A:C,3,FALSE)</f>
        <v>挂件</v>
      </c>
      <c r="H306" t="str">
        <f>VLOOKUP(MID(A306,LEN(A306)-2,1)*1,DATA!G:H,2,FALSE)</f>
        <v>PVP</v>
      </c>
      <c r="I306" t="str">
        <f>VLOOKUP(F306,DATA!B:D,3,FALSE)</f>
        <v>挂件</v>
      </c>
    </row>
    <row r="307" spans="1:9" x14ac:dyDescent="0.15">
      <c r="A307">
        <v>30803007</v>
      </c>
      <c r="B307">
        <f>VLOOKUP(A307,'Fox1'!A:F,2,FALSE)</f>
        <v>4</v>
      </c>
      <c r="C307" t="str">
        <f>VLOOKUP(A307,'Fox1'!A:E,5,FALSE)</f>
        <v>ACOG-LMG</v>
      </c>
      <c r="D307" t="str">
        <f>VLOOKUP(A307,'Fox1'!A:F,6,FALSE)</f>
        <v>Enhanced zoom sight.</v>
      </c>
      <c r="E307">
        <f t="shared" si="8"/>
        <v>3</v>
      </c>
      <c r="F307">
        <f t="shared" si="9"/>
        <v>308</v>
      </c>
      <c r="G307" t="str">
        <f>VLOOKUP(E307,DATA!A:C,3,FALSE)</f>
        <v>挂件</v>
      </c>
      <c r="H307" t="str">
        <f>VLOOKUP(MID(A307,LEN(A307)-2,1)*1,DATA!G:H,2,FALSE)</f>
        <v>PVP</v>
      </c>
      <c r="I307" t="str">
        <f>VLOOKUP(F307,DATA!B:D,3,FALSE)</f>
        <v>挂件</v>
      </c>
    </row>
    <row r="308" spans="1:9" x14ac:dyDescent="0.15">
      <c r="A308">
        <v>30803008</v>
      </c>
      <c r="B308">
        <f>VLOOKUP(A308,'Fox1'!A:F,2,FALSE)</f>
        <v>5</v>
      </c>
      <c r="C308" t="str">
        <f>VLOOKUP(A308,'Fox1'!A:E,5,FALSE)</f>
        <v>ACOG-LMG</v>
      </c>
      <c r="D308" t="str">
        <f>VLOOKUP(A308,'Fox1'!A:F,6,FALSE)</f>
        <v>Enhanced zoom sight.</v>
      </c>
      <c r="E308">
        <f t="shared" si="8"/>
        <v>3</v>
      </c>
      <c r="F308">
        <f t="shared" si="9"/>
        <v>308</v>
      </c>
      <c r="G308" t="str">
        <f>VLOOKUP(E308,DATA!A:C,3,FALSE)</f>
        <v>挂件</v>
      </c>
      <c r="H308" t="str">
        <f>VLOOKUP(MID(A308,LEN(A308)-2,1)*1,DATA!G:H,2,FALSE)</f>
        <v>PVP</v>
      </c>
      <c r="I308" t="str">
        <f>VLOOKUP(F308,DATA!B:D,3,FALSE)</f>
        <v>挂件</v>
      </c>
    </row>
    <row r="309" spans="1:9" x14ac:dyDescent="0.15">
      <c r="A309">
        <v>30803009</v>
      </c>
      <c r="B309">
        <f>VLOOKUP(A309,'Fox1'!A:F,2,FALSE)</f>
        <v>2</v>
      </c>
      <c r="C309" t="str">
        <f>VLOOKUP(A309,'Fox1'!A:E,5,FALSE)</f>
        <v>ACOG-SR</v>
      </c>
      <c r="D309" t="str">
        <f>VLOOKUP(A309,'Fox1'!A:F,6,FALSE)</f>
        <v>Enhanced zoom sight.</v>
      </c>
      <c r="E309">
        <f t="shared" si="8"/>
        <v>3</v>
      </c>
      <c r="F309">
        <f t="shared" si="9"/>
        <v>308</v>
      </c>
      <c r="G309" t="str">
        <f>VLOOKUP(E309,DATA!A:C,3,FALSE)</f>
        <v>挂件</v>
      </c>
      <c r="H309" t="str">
        <f>VLOOKUP(MID(A309,LEN(A309)-2,1)*1,DATA!G:H,2,FALSE)</f>
        <v>PVP</v>
      </c>
      <c r="I309" t="str">
        <f>VLOOKUP(F309,DATA!B:D,3,FALSE)</f>
        <v>挂件</v>
      </c>
    </row>
    <row r="310" spans="1:9" x14ac:dyDescent="0.15">
      <c r="A310">
        <v>30803010</v>
      </c>
      <c r="B310">
        <f>VLOOKUP(A310,'Fox1'!A:F,2,FALSE)</f>
        <v>1</v>
      </c>
      <c r="C310" t="str">
        <f>VLOOKUP(A310,'Fox1'!A:E,5,FALSE)</f>
        <v>ACOG-SR</v>
      </c>
      <c r="D310" t="str">
        <f>VLOOKUP(A310,'Fox1'!A:F,6,FALSE)</f>
        <v>Enhanced zoom sight.</v>
      </c>
      <c r="E310">
        <f t="shared" si="8"/>
        <v>3</v>
      </c>
      <c r="F310">
        <f t="shared" si="9"/>
        <v>308</v>
      </c>
      <c r="G310" t="str">
        <f>VLOOKUP(E310,DATA!A:C,3,FALSE)</f>
        <v>挂件</v>
      </c>
      <c r="H310" t="str">
        <f>VLOOKUP(MID(A310,LEN(A310)-2,1)*1,DATA!G:H,2,FALSE)</f>
        <v>PVP</v>
      </c>
      <c r="I310" t="str">
        <f>VLOOKUP(F310,DATA!B:D,3,FALSE)</f>
        <v>挂件</v>
      </c>
    </row>
    <row r="311" spans="1:9" x14ac:dyDescent="0.15">
      <c r="A311">
        <v>30803011</v>
      </c>
      <c r="B311">
        <f>VLOOKUP(A311,'Fox1'!A:F,2,FALSE)</f>
        <v>4</v>
      </c>
      <c r="C311" t="str">
        <f>VLOOKUP(A311,'Fox1'!A:E,5,FALSE)</f>
        <v>ACOG-SR</v>
      </c>
      <c r="D311" t="str">
        <f>VLOOKUP(A311,'Fox1'!A:F,6,FALSE)</f>
        <v>Enhanced zoom sight.</v>
      </c>
      <c r="E311">
        <f t="shared" si="8"/>
        <v>3</v>
      </c>
      <c r="F311">
        <f t="shared" si="9"/>
        <v>308</v>
      </c>
      <c r="G311" t="str">
        <f>VLOOKUP(E311,DATA!A:C,3,FALSE)</f>
        <v>挂件</v>
      </c>
      <c r="H311" t="str">
        <f>VLOOKUP(MID(A311,LEN(A311)-2,1)*1,DATA!G:H,2,FALSE)</f>
        <v>PVP</v>
      </c>
      <c r="I311" t="str">
        <f>VLOOKUP(F311,DATA!B:D,3,FALSE)</f>
        <v>挂件</v>
      </c>
    </row>
    <row r="312" spans="1:9" x14ac:dyDescent="0.15">
      <c r="A312">
        <v>30803012</v>
      </c>
      <c r="B312">
        <f>VLOOKUP(A312,'Fox1'!A:F,2,FALSE)</f>
        <v>5</v>
      </c>
      <c r="C312" t="str">
        <f>VLOOKUP(A312,'Fox1'!A:E,5,FALSE)</f>
        <v>ACOG-SR</v>
      </c>
      <c r="D312" t="str">
        <f>VLOOKUP(A312,'Fox1'!A:F,6,FALSE)</f>
        <v>Enhanced zoom sight.</v>
      </c>
      <c r="E312">
        <f t="shared" si="8"/>
        <v>3</v>
      </c>
      <c r="F312">
        <f t="shared" si="9"/>
        <v>308</v>
      </c>
      <c r="G312" t="str">
        <f>VLOOKUP(E312,DATA!A:C,3,FALSE)</f>
        <v>挂件</v>
      </c>
      <c r="H312" t="str">
        <f>VLOOKUP(MID(A312,LEN(A312)-2,1)*1,DATA!G:H,2,FALSE)</f>
        <v>PVP</v>
      </c>
      <c r="I312" t="str">
        <f>VLOOKUP(F312,DATA!B:D,3,FALSE)</f>
        <v>挂件</v>
      </c>
    </row>
    <row r="313" spans="1:9" x14ac:dyDescent="0.15">
      <c r="A313">
        <v>40101001</v>
      </c>
      <c r="B313">
        <f>VLOOKUP(A313,'Fox1'!A:F,2,FALSE)</f>
        <v>2</v>
      </c>
      <c r="C313" t="str">
        <f>VLOOKUP(A313,'Fox1'!A:E,5,FALSE)</f>
        <v>Grenade</v>
      </c>
      <c r="D313" t="str">
        <f>VLOOKUP(A313,'Fox1'!A:F,6,FALSE)</f>
        <v xml:space="preserve">Explodes after a short fuse. </v>
      </c>
      <c r="E313">
        <f t="shared" si="8"/>
        <v>4</v>
      </c>
      <c r="F313">
        <f t="shared" si="9"/>
        <v>401</v>
      </c>
      <c r="G313" t="str">
        <f>VLOOKUP(E313,DATA!A:C,3,FALSE)</f>
        <v>装备</v>
      </c>
      <c r="H313" t="str">
        <f>VLOOKUP(MID(A313,LEN(A313)-2,1)*1,DATA!G:H,2,FALSE)</f>
        <v>PVP</v>
      </c>
      <c r="I313" t="str">
        <f>VLOOKUP(F313,DATA!B:D,3,FALSE)</f>
        <v>杀伤装备</v>
      </c>
    </row>
    <row r="314" spans="1:9" x14ac:dyDescent="0.15">
      <c r="A314">
        <v>40101002</v>
      </c>
      <c r="B314">
        <f>VLOOKUP(A314,'Fox1'!A:F,2,FALSE)</f>
        <v>3</v>
      </c>
      <c r="C314" t="str">
        <f>VLOOKUP(A314,'Fox1'!A:E,5,FALSE)</f>
        <v>Grenade</v>
      </c>
      <c r="D314" t="str">
        <f>VLOOKUP(A314,'Fox1'!A:F,6,FALSE)</f>
        <v xml:space="preserve">Explodes after a short fuse. </v>
      </c>
      <c r="E314">
        <f t="shared" si="8"/>
        <v>4</v>
      </c>
      <c r="F314">
        <f t="shared" si="9"/>
        <v>401</v>
      </c>
      <c r="G314" t="str">
        <f>VLOOKUP(E314,DATA!A:C,3,FALSE)</f>
        <v>装备</v>
      </c>
      <c r="H314" t="str">
        <f>VLOOKUP(MID(A314,LEN(A314)-2,1)*1,DATA!G:H,2,FALSE)</f>
        <v>PVP</v>
      </c>
      <c r="I314" t="str">
        <f>VLOOKUP(F314,DATA!B:D,3,FALSE)</f>
        <v>杀伤装备</v>
      </c>
    </row>
    <row r="315" spans="1:9" x14ac:dyDescent="0.15">
      <c r="A315">
        <v>40101003</v>
      </c>
      <c r="B315">
        <f>VLOOKUP(A315,'Fox1'!A:F,2,FALSE)</f>
        <v>4</v>
      </c>
      <c r="C315" t="str">
        <f>VLOOKUP(A315,'Fox1'!A:E,5,FALSE)</f>
        <v>Grenade</v>
      </c>
      <c r="D315" t="str">
        <f>VLOOKUP(A315,'Fox1'!A:F,6,FALSE)</f>
        <v>Explodes after a short fuse.</v>
      </c>
      <c r="E315">
        <f t="shared" si="8"/>
        <v>4</v>
      </c>
      <c r="F315">
        <f t="shared" si="9"/>
        <v>401</v>
      </c>
      <c r="G315" t="str">
        <f>VLOOKUP(E315,DATA!A:C,3,FALSE)</f>
        <v>装备</v>
      </c>
      <c r="H315" t="str">
        <f>VLOOKUP(MID(A315,LEN(A315)-2,1)*1,DATA!G:H,2,FALSE)</f>
        <v>PVP</v>
      </c>
      <c r="I315" t="str">
        <f>VLOOKUP(F315,DATA!B:D,3,FALSE)</f>
        <v>杀伤装备</v>
      </c>
    </row>
    <row r="316" spans="1:9" x14ac:dyDescent="0.15">
      <c r="A316">
        <v>40101004</v>
      </c>
      <c r="B316">
        <f>VLOOKUP(A316,'Fox1'!A:F,2,FALSE)</f>
        <v>5</v>
      </c>
      <c r="C316" t="str">
        <f>VLOOKUP(A316,'Fox1'!A:E,5,FALSE)</f>
        <v>Grenade</v>
      </c>
      <c r="D316" t="str">
        <f>VLOOKUP(A316,'Fox1'!A:F,6,FALSE)</f>
        <v>Explodes after a short fuse.</v>
      </c>
      <c r="E316">
        <f t="shared" si="8"/>
        <v>4</v>
      </c>
      <c r="F316">
        <f t="shared" si="9"/>
        <v>401</v>
      </c>
      <c r="G316" t="str">
        <f>VLOOKUP(E316,DATA!A:C,3,FALSE)</f>
        <v>装备</v>
      </c>
      <c r="H316" t="str">
        <f>VLOOKUP(MID(A316,LEN(A316)-2,1)*1,DATA!G:H,2,FALSE)</f>
        <v>PVP</v>
      </c>
      <c r="I316" t="str">
        <f>VLOOKUP(F316,DATA!B:D,3,FALSE)</f>
        <v>杀伤装备</v>
      </c>
    </row>
    <row r="317" spans="1:9" x14ac:dyDescent="0.15">
      <c r="A317">
        <v>40101005</v>
      </c>
      <c r="B317">
        <f>VLOOKUP(A317,'Fox1'!A:F,2,FALSE)</f>
        <v>1</v>
      </c>
      <c r="C317" t="str">
        <f>VLOOKUP(A317,'Fox1'!A:E,5,FALSE)</f>
        <v>Grenade</v>
      </c>
      <c r="D317" t="str">
        <f>VLOOKUP(A317,'Fox1'!A:F,6,FALSE)</f>
        <v>Explodes after a short fuse.</v>
      </c>
      <c r="E317">
        <f t="shared" si="8"/>
        <v>4</v>
      </c>
      <c r="F317">
        <f t="shared" si="9"/>
        <v>401</v>
      </c>
      <c r="G317" t="str">
        <f>VLOOKUP(E317,DATA!A:C,3,FALSE)</f>
        <v>装备</v>
      </c>
      <c r="H317" t="str">
        <f>VLOOKUP(MID(A317,LEN(A317)-2,1)*1,DATA!G:H,2,FALSE)</f>
        <v>PVP</v>
      </c>
      <c r="I317" t="str">
        <f>VLOOKUP(F317,DATA!B:D,3,FALSE)</f>
        <v>杀伤装备</v>
      </c>
    </row>
    <row r="318" spans="1:9" x14ac:dyDescent="0.15">
      <c r="A318">
        <v>40102001</v>
      </c>
      <c r="B318">
        <f>VLOOKUP(A318,'Fox1'!A:F,2,FALSE)</f>
        <v>2</v>
      </c>
      <c r="C318" t="str">
        <f>VLOOKUP(A318,'Fox1'!A:E,5,FALSE)</f>
        <v>Stick Grenade</v>
      </c>
      <c r="D318" t="str">
        <f>VLOOKUP(A318,'Fox1'!A:F,6,FALSE)</f>
        <v>Grenade that sticks to surfaces before detonating</v>
      </c>
      <c r="E318">
        <f t="shared" si="8"/>
        <v>4</v>
      </c>
      <c r="F318">
        <f t="shared" si="9"/>
        <v>401</v>
      </c>
      <c r="G318" t="str">
        <f>VLOOKUP(E318,DATA!A:C,3,FALSE)</f>
        <v>装备</v>
      </c>
      <c r="H318" t="str">
        <f>VLOOKUP(MID(A318,LEN(A318)-2,1)*1,DATA!G:H,2,FALSE)</f>
        <v>PVP</v>
      </c>
      <c r="I318" t="str">
        <f>VLOOKUP(F318,DATA!B:D,3,FALSE)</f>
        <v>杀伤装备</v>
      </c>
    </row>
    <row r="319" spans="1:9" x14ac:dyDescent="0.15">
      <c r="A319">
        <v>40102002</v>
      </c>
      <c r="B319">
        <f>VLOOKUP(A319,'Fox1'!A:F,2,FALSE)</f>
        <v>3</v>
      </c>
      <c r="C319" t="str">
        <f>VLOOKUP(A319,'Fox1'!A:E,5,FALSE)</f>
        <v>Stick Grenade</v>
      </c>
      <c r="D319" t="str">
        <f>VLOOKUP(A319,'Fox1'!A:F,6,FALSE)</f>
        <v>Grenade that sticks to surfaces before detonating</v>
      </c>
      <c r="E319">
        <f t="shared" si="8"/>
        <v>4</v>
      </c>
      <c r="F319">
        <f t="shared" si="9"/>
        <v>401</v>
      </c>
      <c r="G319" t="str">
        <f>VLOOKUP(E319,DATA!A:C,3,FALSE)</f>
        <v>装备</v>
      </c>
      <c r="H319" t="str">
        <f>VLOOKUP(MID(A319,LEN(A319)-2,1)*1,DATA!G:H,2,FALSE)</f>
        <v>PVP</v>
      </c>
      <c r="I319" t="str">
        <f>VLOOKUP(F319,DATA!B:D,3,FALSE)</f>
        <v>杀伤装备</v>
      </c>
    </row>
    <row r="320" spans="1:9" x14ac:dyDescent="0.15">
      <c r="A320">
        <v>40102003</v>
      </c>
      <c r="B320">
        <f>VLOOKUP(A320,'Fox1'!A:F,2,FALSE)</f>
        <v>4</v>
      </c>
      <c r="C320" t="str">
        <f>VLOOKUP(A320,'Fox1'!A:E,5,FALSE)</f>
        <v>Stick Grenade</v>
      </c>
      <c r="D320" t="str">
        <f>VLOOKUP(A320,'Fox1'!A:F,6,FALSE)</f>
        <v>Grenade that sticks to surfaces before detonating</v>
      </c>
      <c r="E320">
        <f t="shared" si="8"/>
        <v>4</v>
      </c>
      <c r="F320">
        <f t="shared" si="9"/>
        <v>401</v>
      </c>
      <c r="G320" t="str">
        <f>VLOOKUP(E320,DATA!A:C,3,FALSE)</f>
        <v>装备</v>
      </c>
      <c r="H320" t="str">
        <f>VLOOKUP(MID(A320,LEN(A320)-2,1)*1,DATA!G:H,2,FALSE)</f>
        <v>PVP</v>
      </c>
      <c r="I320" t="str">
        <f>VLOOKUP(F320,DATA!B:D,3,FALSE)</f>
        <v>杀伤装备</v>
      </c>
    </row>
    <row r="321" spans="1:9" x14ac:dyDescent="0.15">
      <c r="A321">
        <v>40102004</v>
      </c>
      <c r="B321">
        <f>VLOOKUP(A321,'Fox1'!A:F,2,FALSE)</f>
        <v>5</v>
      </c>
      <c r="C321" t="str">
        <f>VLOOKUP(A321,'Fox1'!A:E,5,FALSE)</f>
        <v>Stick Grenade</v>
      </c>
      <c r="D321" t="str">
        <f>VLOOKUP(A321,'Fox1'!A:F,6,FALSE)</f>
        <v>Grenade that sticks to surfaces before detonating</v>
      </c>
      <c r="E321">
        <f t="shared" si="8"/>
        <v>4</v>
      </c>
      <c r="F321">
        <f t="shared" si="9"/>
        <v>401</v>
      </c>
      <c r="G321" t="str">
        <f>VLOOKUP(E321,DATA!A:C,3,FALSE)</f>
        <v>装备</v>
      </c>
      <c r="H321" t="str">
        <f>VLOOKUP(MID(A321,LEN(A321)-2,1)*1,DATA!G:H,2,FALSE)</f>
        <v>PVP</v>
      </c>
      <c r="I321" t="str">
        <f>VLOOKUP(F321,DATA!B:D,3,FALSE)</f>
        <v>杀伤装备</v>
      </c>
    </row>
    <row r="322" spans="1:9" x14ac:dyDescent="0.15">
      <c r="A322">
        <v>40102005</v>
      </c>
      <c r="B322">
        <f>VLOOKUP(A322,'Fox1'!A:F,2,FALSE)</f>
        <v>1</v>
      </c>
      <c r="C322" t="str">
        <f>VLOOKUP(A322,'Fox1'!A:E,5,FALSE)</f>
        <v>Stick Grenade</v>
      </c>
      <c r="D322" t="str">
        <f>VLOOKUP(A322,'Fox1'!A:F,6,FALSE)</f>
        <v>Grenade that sticks to surfaces before detonating</v>
      </c>
      <c r="E322">
        <f t="shared" ref="E322:E385" si="10">LEFT(A322,LEN(A322)-7)*1</f>
        <v>4</v>
      </c>
      <c r="F322">
        <f t="shared" ref="F322:F385" si="11">LEFT(A322,LEN(A322)-5)*1</f>
        <v>401</v>
      </c>
      <c r="G322" t="str">
        <f>VLOOKUP(E322,DATA!A:C,3,FALSE)</f>
        <v>装备</v>
      </c>
      <c r="H322" t="str">
        <f>VLOOKUP(MID(A322,LEN(A322)-2,1)*1,DATA!G:H,2,FALSE)</f>
        <v>PVP</v>
      </c>
      <c r="I322" t="str">
        <f>VLOOKUP(F322,DATA!B:D,3,FALSE)</f>
        <v>杀伤装备</v>
      </c>
    </row>
    <row r="323" spans="1:9" x14ac:dyDescent="0.15">
      <c r="A323">
        <v>40103001</v>
      </c>
      <c r="B323">
        <f>VLOOKUP(A323,'Fox1'!A:F,2,FALSE)</f>
        <v>2</v>
      </c>
      <c r="C323" t="str">
        <f>VLOOKUP(A323,'Fox1'!A:E,5,FALSE)</f>
        <v>Trip Mine</v>
      </c>
      <c r="D323" t="str">
        <f>VLOOKUP(A323,'Fox1'!A:F,6,FALSE)</f>
        <v>Magnetic mine that detonates when an enemy interrupts the beam.</v>
      </c>
      <c r="E323">
        <f t="shared" si="10"/>
        <v>4</v>
      </c>
      <c r="F323">
        <f t="shared" si="11"/>
        <v>401</v>
      </c>
      <c r="G323" t="str">
        <f>VLOOKUP(E323,DATA!A:C,3,FALSE)</f>
        <v>装备</v>
      </c>
      <c r="H323" t="str">
        <f>VLOOKUP(MID(A323,LEN(A323)-2,1)*1,DATA!G:H,2,FALSE)</f>
        <v>PVP</v>
      </c>
      <c r="I323" t="str">
        <f>VLOOKUP(F323,DATA!B:D,3,FALSE)</f>
        <v>杀伤装备</v>
      </c>
    </row>
    <row r="324" spans="1:9" x14ac:dyDescent="0.15">
      <c r="A324">
        <v>40103002</v>
      </c>
      <c r="B324">
        <f>VLOOKUP(A324,'Fox1'!A:F,2,FALSE)</f>
        <v>3</v>
      </c>
      <c r="C324" t="str">
        <f>VLOOKUP(A324,'Fox1'!A:E,5,FALSE)</f>
        <v>Trip Mine</v>
      </c>
      <c r="D324" t="str">
        <f>VLOOKUP(A324,'Fox1'!A:F,6,FALSE)</f>
        <v>Magnetic mine that detonates when an enemy interrupts the beam.</v>
      </c>
      <c r="E324">
        <f t="shared" si="10"/>
        <v>4</v>
      </c>
      <c r="F324">
        <f t="shared" si="11"/>
        <v>401</v>
      </c>
      <c r="G324" t="str">
        <f>VLOOKUP(E324,DATA!A:C,3,FALSE)</f>
        <v>装备</v>
      </c>
      <c r="H324" t="str">
        <f>VLOOKUP(MID(A324,LEN(A324)-2,1)*1,DATA!G:H,2,FALSE)</f>
        <v>PVP</v>
      </c>
      <c r="I324" t="str">
        <f>VLOOKUP(F324,DATA!B:D,3,FALSE)</f>
        <v>杀伤装备</v>
      </c>
    </row>
    <row r="325" spans="1:9" x14ac:dyDescent="0.15">
      <c r="A325">
        <v>40103003</v>
      </c>
      <c r="B325">
        <f>VLOOKUP(A325,'Fox1'!A:F,2,FALSE)</f>
        <v>4</v>
      </c>
      <c r="C325" t="str">
        <f>VLOOKUP(A325,'Fox1'!A:E,5,FALSE)</f>
        <v>Trip Mine</v>
      </c>
      <c r="D325" t="str">
        <f>VLOOKUP(A325,'Fox1'!A:F,6,FALSE)</f>
        <v>Magnetic mine that detonates when an enemy interrupts the beam.</v>
      </c>
      <c r="E325">
        <f t="shared" si="10"/>
        <v>4</v>
      </c>
      <c r="F325">
        <f t="shared" si="11"/>
        <v>401</v>
      </c>
      <c r="G325" t="str">
        <f>VLOOKUP(E325,DATA!A:C,3,FALSE)</f>
        <v>装备</v>
      </c>
      <c r="H325" t="str">
        <f>VLOOKUP(MID(A325,LEN(A325)-2,1)*1,DATA!G:H,2,FALSE)</f>
        <v>PVP</v>
      </c>
      <c r="I325" t="str">
        <f>VLOOKUP(F325,DATA!B:D,3,FALSE)</f>
        <v>杀伤装备</v>
      </c>
    </row>
    <row r="326" spans="1:9" x14ac:dyDescent="0.15">
      <c r="A326">
        <v>40103004</v>
      </c>
      <c r="B326">
        <f>VLOOKUP(A326,'Fox1'!A:F,2,FALSE)</f>
        <v>5</v>
      </c>
      <c r="C326" t="str">
        <f>VLOOKUP(A326,'Fox1'!A:E,5,FALSE)</f>
        <v>Trip Mine</v>
      </c>
      <c r="D326" t="str">
        <f>VLOOKUP(A326,'Fox1'!A:F,6,FALSE)</f>
        <v>Magnetic mine that detonates when an enemy interrupts the beam.</v>
      </c>
      <c r="E326">
        <f t="shared" si="10"/>
        <v>4</v>
      </c>
      <c r="F326">
        <f t="shared" si="11"/>
        <v>401</v>
      </c>
      <c r="G326" t="str">
        <f>VLOOKUP(E326,DATA!A:C,3,FALSE)</f>
        <v>装备</v>
      </c>
      <c r="H326" t="str">
        <f>VLOOKUP(MID(A326,LEN(A326)-2,1)*1,DATA!G:H,2,FALSE)</f>
        <v>PVP</v>
      </c>
      <c r="I326" t="str">
        <f>VLOOKUP(F326,DATA!B:D,3,FALSE)</f>
        <v>杀伤装备</v>
      </c>
    </row>
    <row r="327" spans="1:9" x14ac:dyDescent="0.15">
      <c r="A327">
        <v>40103005</v>
      </c>
      <c r="B327">
        <f>VLOOKUP(A327,'Fox1'!A:F,2,FALSE)</f>
        <v>1</v>
      </c>
      <c r="C327" t="str">
        <f>VLOOKUP(A327,'Fox1'!A:E,5,FALSE)</f>
        <v>Trip Mine</v>
      </c>
      <c r="D327" t="str">
        <f>VLOOKUP(A327,'Fox1'!A:F,6,FALSE)</f>
        <v>Magnetic mine that detonates when an enemy interrupts the beam.</v>
      </c>
      <c r="E327">
        <f t="shared" si="10"/>
        <v>4</v>
      </c>
      <c r="F327">
        <f t="shared" si="11"/>
        <v>401</v>
      </c>
      <c r="G327" t="str">
        <f>VLOOKUP(E327,DATA!A:C,3,FALSE)</f>
        <v>装备</v>
      </c>
      <c r="H327" t="str">
        <f>VLOOKUP(MID(A327,LEN(A327)-2,1)*1,DATA!G:H,2,FALSE)</f>
        <v>PVP</v>
      </c>
      <c r="I327" t="str">
        <f>VLOOKUP(F327,DATA!B:D,3,FALSE)</f>
        <v>杀伤装备</v>
      </c>
    </row>
    <row r="328" spans="1:9" x14ac:dyDescent="0.15">
      <c r="A328">
        <v>40201001</v>
      </c>
      <c r="B328">
        <f>VLOOKUP(A328,'Fox1'!A:F,2,FALSE)</f>
        <v>2</v>
      </c>
      <c r="C328" t="str">
        <f>VLOOKUP(A328,'Fox1'!A:E,5,FALSE)</f>
        <v>Flash</v>
      </c>
      <c r="D328" t="str">
        <f>VLOOKUP(A328,'Fox1'!A:F,6,FALSE)</f>
        <v>Device that blinds and deafens the target when detonated.</v>
      </c>
      <c r="E328">
        <f t="shared" si="10"/>
        <v>4</v>
      </c>
      <c r="F328">
        <f t="shared" si="11"/>
        <v>402</v>
      </c>
      <c r="G328" t="str">
        <f>VLOOKUP(E328,DATA!A:C,3,FALSE)</f>
        <v>装备</v>
      </c>
      <c r="H328" t="str">
        <f>VLOOKUP(MID(A328,LEN(A328)-2,1)*1,DATA!G:H,2,FALSE)</f>
        <v>PVP</v>
      </c>
      <c r="I328" t="str">
        <f>VLOOKUP(F328,DATA!B:D,3,FALSE)</f>
        <v>杀伤装备</v>
      </c>
    </row>
    <row r="329" spans="1:9" x14ac:dyDescent="0.15">
      <c r="A329">
        <v>40201002</v>
      </c>
      <c r="B329">
        <f>VLOOKUP(A329,'Fox1'!A:F,2,FALSE)</f>
        <v>3</v>
      </c>
      <c r="C329" t="str">
        <f>VLOOKUP(A329,'Fox1'!A:E,5,FALSE)</f>
        <v>Flash</v>
      </c>
      <c r="D329" t="str">
        <f>VLOOKUP(A329,'Fox1'!A:F,6,FALSE)</f>
        <v>Device that blinds and deafens the target when detonated.</v>
      </c>
      <c r="E329">
        <f t="shared" si="10"/>
        <v>4</v>
      </c>
      <c r="F329">
        <f t="shared" si="11"/>
        <v>402</v>
      </c>
      <c r="G329" t="str">
        <f>VLOOKUP(E329,DATA!A:C,3,FALSE)</f>
        <v>装备</v>
      </c>
      <c r="H329" t="str">
        <f>VLOOKUP(MID(A329,LEN(A329)-2,1)*1,DATA!G:H,2,FALSE)</f>
        <v>PVP</v>
      </c>
      <c r="I329" t="str">
        <f>VLOOKUP(F329,DATA!B:D,3,FALSE)</f>
        <v>杀伤装备</v>
      </c>
    </row>
    <row r="330" spans="1:9" x14ac:dyDescent="0.15">
      <c r="A330">
        <v>40201003</v>
      </c>
      <c r="B330">
        <f>VLOOKUP(A330,'Fox1'!A:F,2,FALSE)</f>
        <v>4</v>
      </c>
      <c r="C330" t="str">
        <f>VLOOKUP(A330,'Fox1'!A:E,5,FALSE)</f>
        <v>Flash</v>
      </c>
      <c r="D330" t="str">
        <f>VLOOKUP(A330,'Fox1'!A:F,6,FALSE)</f>
        <v>Device that blinds and deafens the target when detonated.</v>
      </c>
      <c r="E330">
        <f t="shared" si="10"/>
        <v>4</v>
      </c>
      <c r="F330">
        <f t="shared" si="11"/>
        <v>402</v>
      </c>
      <c r="G330" t="str">
        <f>VLOOKUP(E330,DATA!A:C,3,FALSE)</f>
        <v>装备</v>
      </c>
      <c r="H330" t="str">
        <f>VLOOKUP(MID(A330,LEN(A330)-2,1)*1,DATA!G:H,2,FALSE)</f>
        <v>PVP</v>
      </c>
      <c r="I330" t="str">
        <f>VLOOKUP(F330,DATA!B:D,3,FALSE)</f>
        <v>杀伤装备</v>
      </c>
    </row>
    <row r="331" spans="1:9" x14ac:dyDescent="0.15">
      <c r="A331">
        <v>40201004</v>
      </c>
      <c r="B331">
        <f>VLOOKUP(A331,'Fox1'!A:F,2,FALSE)</f>
        <v>5</v>
      </c>
      <c r="C331" t="str">
        <f>VLOOKUP(A331,'Fox1'!A:E,5,FALSE)</f>
        <v>Flash</v>
      </c>
      <c r="D331" t="str">
        <f>VLOOKUP(A331,'Fox1'!A:F,6,FALSE)</f>
        <v>Device that blinds and deafens the target when detonated.</v>
      </c>
      <c r="E331">
        <f t="shared" si="10"/>
        <v>4</v>
      </c>
      <c r="F331">
        <f t="shared" si="11"/>
        <v>402</v>
      </c>
      <c r="G331" t="str">
        <f>VLOOKUP(E331,DATA!A:C,3,FALSE)</f>
        <v>装备</v>
      </c>
      <c r="H331" t="str">
        <f>VLOOKUP(MID(A331,LEN(A331)-2,1)*1,DATA!G:H,2,FALSE)</f>
        <v>PVP</v>
      </c>
      <c r="I331" t="str">
        <f>VLOOKUP(F331,DATA!B:D,3,FALSE)</f>
        <v>杀伤装备</v>
      </c>
    </row>
    <row r="332" spans="1:9" x14ac:dyDescent="0.15">
      <c r="A332">
        <v>40201005</v>
      </c>
      <c r="B332">
        <f>VLOOKUP(A332,'Fox1'!A:F,2,FALSE)</f>
        <v>1</v>
      </c>
      <c r="C332" t="str">
        <f>VLOOKUP(A332,'Fox1'!A:E,5,FALSE)</f>
        <v>Flash</v>
      </c>
      <c r="D332" t="str">
        <f>VLOOKUP(A332,'Fox1'!A:F,6,FALSE)</f>
        <v>Device that blinds and deafens the target when detonated.</v>
      </c>
      <c r="E332">
        <f t="shared" si="10"/>
        <v>4</v>
      </c>
      <c r="F332">
        <f t="shared" si="11"/>
        <v>402</v>
      </c>
      <c r="G332" t="str">
        <f>VLOOKUP(E332,DATA!A:C,3,FALSE)</f>
        <v>装备</v>
      </c>
      <c r="H332" t="str">
        <f>VLOOKUP(MID(A332,LEN(A332)-2,1)*1,DATA!G:H,2,FALSE)</f>
        <v>PVP</v>
      </c>
      <c r="I332" t="str">
        <f>VLOOKUP(F332,DATA!B:D,3,FALSE)</f>
        <v>杀伤装备</v>
      </c>
    </row>
    <row r="333" spans="1:9" x14ac:dyDescent="0.15">
      <c r="A333">
        <v>40202001</v>
      </c>
      <c r="B333">
        <f>VLOOKUP(A333,'Fox1'!A:F,2,FALSE)</f>
        <v>2</v>
      </c>
      <c r="C333" t="str">
        <f>VLOOKUP(A333,'Fox1'!A:E,5,FALSE)</f>
        <v>Smoke Grenade</v>
      </c>
      <c r="D333" t="str">
        <f>VLOOKUP(A333,'Fox1'!A:F,6,FALSE)</f>
        <v>Produces a smoke screen immediately upon impact</v>
      </c>
      <c r="E333">
        <f t="shared" si="10"/>
        <v>4</v>
      </c>
      <c r="F333">
        <f t="shared" si="11"/>
        <v>402</v>
      </c>
      <c r="G333" t="str">
        <f>VLOOKUP(E333,DATA!A:C,3,FALSE)</f>
        <v>装备</v>
      </c>
      <c r="H333" t="str">
        <f>VLOOKUP(MID(A333,LEN(A333)-2,1)*1,DATA!G:H,2,FALSE)</f>
        <v>PVP</v>
      </c>
      <c r="I333" t="str">
        <f>VLOOKUP(F333,DATA!B:D,3,FALSE)</f>
        <v>杀伤装备</v>
      </c>
    </row>
    <row r="334" spans="1:9" x14ac:dyDescent="0.15">
      <c r="A334">
        <v>40202002</v>
      </c>
      <c r="B334">
        <f>VLOOKUP(A334,'Fox1'!A:F,2,FALSE)</f>
        <v>3</v>
      </c>
      <c r="C334" t="str">
        <f>VLOOKUP(A334,'Fox1'!A:E,5,FALSE)</f>
        <v>Smoke Grenade</v>
      </c>
      <c r="D334" t="str">
        <f>VLOOKUP(A334,'Fox1'!A:F,6,FALSE)</f>
        <v>Produces a smoke screen immediately upon impact</v>
      </c>
      <c r="E334">
        <f t="shared" si="10"/>
        <v>4</v>
      </c>
      <c r="F334">
        <f t="shared" si="11"/>
        <v>402</v>
      </c>
      <c r="G334" t="str">
        <f>VLOOKUP(E334,DATA!A:C,3,FALSE)</f>
        <v>装备</v>
      </c>
      <c r="H334" t="str">
        <f>VLOOKUP(MID(A334,LEN(A334)-2,1)*1,DATA!G:H,2,FALSE)</f>
        <v>PVP</v>
      </c>
      <c r="I334" t="str">
        <f>VLOOKUP(F334,DATA!B:D,3,FALSE)</f>
        <v>杀伤装备</v>
      </c>
    </row>
    <row r="335" spans="1:9" x14ac:dyDescent="0.15">
      <c r="A335">
        <v>40202003</v>
      </c>
      <c r="B335">
        <f>VLOOKUP(A335,'Fox1'!A:F,2,FALSE)</f>
        <v>4</v>
      </c>
      <c r="C335" t="str">
        <f>VLOOKUP(A335,'Fox1'!A:E,5,FALSE)</f>
        <v>Smoke Grenade</v>
      </c>
      <c r="D335" t="str">
        <f>VLOOKUP(A335,'Fox1'!A:F,6,FALSE)</f>
        <v>Produces a smoke screen immediately upon impact</v>
      </c>
      <c r="E335">
        <f t="shared" si="10"/>
        <v>4</v>
      </c>
      <c r="F335">
        <f t="shared" si="11"/>
        <v>402</v>
      </c>
      <c r="G335" t="str">
        <f>VLOOKUP(E335,DATA!A:C,3,FALSE)</f>
        <v>装备</v>
      </c>
      <c r="H335" t="str">
        <f>VLOOKUP(MID(A335,LEN(A335)-2,1)*1,DATA!G:H,2,FALSE)</f>
        <v>PVP</v>
      </c>
      <c r="I335" t="str">
        <f>VLOOKUP(F335,DATA!B:D,3,FALSE)</f>
        <v>杀伤装备</v>
      </c>
    </row>
    <row r="336" spans="1:9" x14ac:dyDescent="0.15">
      <c r="A336">
        <v>40202004</v>
      </c>
      <c r="B336">
        <f>VLOOKUP(A336,'Fox1'!A:F,2,FALSE)</f>
        <v>5</v>
      </c>
      <c r="C336" t="str">
        <f>VLOOKUP(A336,'Fox1'!A:E,5,FALSE)</f>
        <v>Smoke Grenade</v>
      </c>
      <c r="D336" t="str">
        <f>VLOOKUP(A336,'Fox1'!A:F,6,FALSE)</f>
        <v>Produces a smoke screen immediately upon impact</v>
      </c>
      <c r="E336">
        <f t="shared" si="10"/>
        <v>4</v>
      </c>
      <c r="F336">
        <f t="shared" si="11"/>
        <v>402</v>
      </c>
      <c r="G336" t="str">
        <f>VLOOKUP(E336,DATA!A:C,3,FALSE)</f>
        <v>装备</v>
      </c>
      <c r="H336" t="str">
        <f>VLOOKUP(MID(A336,LEN(A336)-2,1)*1,DATA!G:H,2,FALSE)</f>
        <v>PVP</v>
      </c>
      <c r="I336" t="str">
        <f>VLOOKUP(F336,DATA!B:D,3,FALSE)</f>
        <v>杀伤装备</v>
      </c>
    </row>
    <row r="337" spans="1:9" x14ac:dyDescent="0.15">
      <c r="A337">
        <v>40202005</v>
      </c>
      <c r="B337">
        <f>VLOOKUP(A337,'Fox1'!A:F,2,FALSE)</f>
        <v>1</v>
      </c>
      <c r="C337" t="str">
        <f>VLOOKUP(A337,'Fox1'!A:E,5,FALSE)</f>
        <v>Smoke Grenade</v>
      </c>
      <c r="D337" t="str">
        <f>VLOOKUP(A337,'Fox1'!A:F,6,FALSE)</f>
        <v>Produces a smoke screen immediately upon impact</v>
      </c>
      <c r="E337">
        <f t="shared" si="10"/>
        <v>4</v>
      </c>
      <c r="F337">
        <f t="shared" si="11"/>
        <v>402</v>
      </c>
      <c r="G337" t="str">
        <f>VLOOKUP(E337,DATA!A:C,3,FALSE)</f>
        <v>装备</v>
      </c>
      <c r="H337" t="str">
        <f>VLOOKUP(MID(A337,LEN(A337)-2,1)*1,DATA!G:H,2,FALSE)</f>
        <v>PVP</v>
      </c>
      <c r="I337" t="str">
        <f>VLOOKUP(F337,DATA!B:D,3,FALSE)</f>
        <v>杀伤装备</v>
      </c>
    </row>
    <row r="338" spans="1:9" x14ac:dyDescent="0.15">
      <c r="A338">
        <v>40203001</v>
      </c>
      <c r="B338">
        <f>VLOOKUP(A338,'Fox1'!A:F,2,FALSE)</f>
        <v>2</v>
      </c>
      <c r="C338" t="str">
        <f>VLOOKUP(A338,'Fox1'!A:E,5,FALSE)</f>
        <v>Concussion</v>
      </c>
      <c r="D338" t="str">
        <f>VLOOKUP(A338,'Fox1'!A:F,6,FALSE)</f>
        <v>Disorients enemies and slows movement</v>
      </c>
      <c r="E338">
        <f t="shared" si="10"/>
        <v>4</v>
      </c>
      <c r="F338">
        <f t="shared" si="11"/>
        <v>402</v>
      </c>
      <c r="G338" t="str">
        <f>VLOOKUP(E338,DATA!A:C,3,FALSE)</f>
        <v>装备</v>
      </c>
      <c r="H338" t="str">
        <f>VLOOKUP(MID(A338,LEN(A338)-2,1)*1,DATA!G:H,2,FALSE)</f>
        <v>PVP</v>
      </c>
      <c r="I338" t="str">
        <f>VLOOKUP(F338,DATA!B:D,3,FALSE)</f>
        <v>杀伤装备</v>
      </c>
    </row>
    <row r="339" spans="1:9" x14ac:dyDescent="0.15">
      <c r="A339">
        <v>40203002</v>
      </c>
      <c r="B339">
        <f>VLOOKUP(A339,'Fox1'!A:F,2,FALSE)</f>
        <v>3</v>
      </c>
      <c r="C339" t="str">
        <f>VLOOKUP(A339,'Fox1'!A:E,5,FALSE)</f>
        <v>Concussion</v>
      </c>
      <c r="D339" t="str">
        <f>VLOOKUP(A339,'Fox1'!A:F,6,FALSE)</f>
        <v>Disorients enemies and slows movement</v>
      </c>
      <c r="E339">
        <f t="shared" si="10"/>
        <v>4</v>
      </c>
      <c r="F339">
        <f t="shared" si="11"/>
        <v>402</v>
      </c>
      <c r="G339" t="str">
        <f>VLOOKUP(E339,DATA!A:C,3,FALSE)</f>
        <v>装备</v>
      </c>
      <c r="H339" t="str">
        <f>VLOOKUP(MID(A339,LEN(A339)-2,1)*1,DATA!G:H,2,FALSE)</f>
        <v>PVP</v>
      </c>
      <c r="I339" t="str">
        <f>VLOOKUP(F339,DATA!B:D,3,FALSE)</f>
        <v>杀伤装备</v>
      </c>
    </row>
    <row r="340" spans="1:9" x14ac:dyDescent="0.15">
      <c r="A340">
        <v>40203003</v>
      </c>
      <c r="B340">
        <f>VLOOKUP(A340,'Fox1'!A:F,2,FALSE)</f>
        <v>4</v>
      </c>
      <c r="C340" t="str">
        <f>VLOOKUP(A340,'Fox1'!A:E,5,FALSE)</f>
        <v>Concussion</v>
      </c>
      <c r="D340" t="str">
        <f>VLOOKUP(A340,'Fox1'!A:F,6,FALSE)</f>
        <v>Disorients enemies and slows movement</v>
      </c>
      <c r="E340">
        <f t="shared" si="10"/>
        <v>4</v>
      </c>
      <c r="F340">
        <f t="shared" si="11"/>
        <v>402</v>
      </c>
      <c r="G340" t="str">
        <f>VLOOKUP(E340,DATA!A:C,3,FALSE)</f>
        <v>装备</v>
      </c>
      <c r="H340" t="str">
        <f>VLOOKUP(MID(A340,LEN(A340)-2,1)*1,DATA!G:H,2,FALSE)</f>
        <v>PVP</v>
      </c>
      <c r="I340" t="str">
        <f>VLOOKUP(F340,DATA!B:D,3,FALSE)</f>
        <v>杀伤装备</v>
      </c>
    </row>
    <row r="341" spans="1:9" x14ac:dyDescent="0.15">
      <c r="A341">
        <v>40203004</v>
      </c>
      <c r="B341">
        <f>VLOOKUP(A341,'Fox1'!A:F,2,FALSE)</f>
        <v>5</v>
      </c>
      <c r="C341" t="str">
        <f>VLOOKUP(A341,'Fox1'!A:E,5,FALSE)</f>
        <v>Concussion</v>
      </c>
      <c r="D341" t="str">
        <f>VLOOKUP(A341,'Fox1'!A:F,6,FALSE)</f>
        <v>Disorients enemies and slows movement</v>
      </c>
      <c r="E341">
        <f t="shared" si="10"/>
        <v>4</v>
      </c>
      <c r="F341">
        <f t="shared" si="11"/>
        <v>402</v>
      </c>
      <c r="G341" t="str">
        <f>VLOOKUP(E341,DATA!A:C,3,FALSE)</f>
        <v>装备</v>
      </c>
      <c r="H341" t="str">
        <f>VLOOKUP(MID(A341,LEN(A341)-2,1)*1,DATA!G:H,2,FALSE)</f>
        <v>PVP</v>
      </c>
      <c r="I341" t="str">
        <f>VLOOKUP(F341,DATA!B:D,3,FALSE)</f>
        <v>杀伤装备</v>
      </c>
    </row>
    <row r="342" spans="1:9" x14ac:dyDescent="0.15">
      <c r="A342">
        <v>40203005</v>
      </c>
      <c r="B342">
        <f>VLOOKUP(A342,'Fox1'!A:F,2,FALSE)</f>
        <v>1</v>
      </c>
      <c r="C342" t="str">
        <f>VLOOKUP(A342,'Fox1'!A:E,5,FALSE)</f>
        <v>Concussion</v>
      </c>
      <c r="D342" t="str">
        <f>VLOOKUP(A342,'Fox1'!A:F,6,FALSE)</f>
        <v>Disorients enemies and slows movement</v>
      </c>
      <c r="E342">
        <f t="shared" si="10"/>
        <v>4</v>
      </c>
      <c r="F342">
        <f t="shared" si="11"/>
        <v>402</v>
      </c>
      <c r="G342" t="str">
        <f>VLOOKUP(E342,DATA!A:C,3,FALSE)</f>
        <v>装备</v>
      </c>
      <c r="H342" t="str">
        <f>VLOOKUP(MID(A342,LEN(A342)-2,1)*1,DATA!G:H,2,FALSE)</f>
        <v>PVP</v>
      </c>
      <c r="I342" t="str">
        <f>VLOOKUP(F342,DATA!B:D,3,FALSE)</f>
        <v>杀伤装备</v>
      </c>
    </row>
    <row r="343" spans="1:9" x14ac:dyDescent="0.15">
      <c r="A343">
        <v>40204001</v>
      </c>
      <c r="B343">
        <f>VLOOKUP(A343,'Fox1'!A:F,2,FALSE)</f>
        <v>2</v>
      </c>
      <c r="C343" t="str">
        <f>VLOOKUP(A343,'Fox1'!A:E,5,FALSE)</f>
        <v>EMP</v>
      </c>
      <c r="D343" t="str">
        <f>VLOOKUP(A343,'Fox1'!A:F,6,FALSE)</f>
        <v>Damage and disable nearby mechanized enemy units.</v>
      </c>
      <c r="E343">
        <f t="shared" si="10"/>
        <v>4</v>
      </c>
      <c r="F343">
        <f t="shared" si="11"/>
        <v>402</v>
      </c>
      <c r="G343" t="str">
        <f>VLOOKUP(E343,DATA!A:C,3,FALSE)</f>
        <v>装备</v>
      </c>
      <c r="H343" t="str">
        <f>VLOOKUP(MID(A343,LEN(A343)-2,1)*1,DATA!G:H,2,FALSE)</f>
        <v>PVP</v>
      </c>
      <c r="I343" t="str">
        <f>VLOOKUP(F343,DATA!B:D,3,FALSE)</f>
        <v>杀伤装备</v>
      </c>
    </row>
    <row r="344" spans="1:9" x14ac:dyDescent="0.15">
      <c r="A344">
        <v>40204002</v>
      </c>
      <c r="B344">
        <f>VLOOKUP(A344,'Fox1'!A:F,2,FALSE)</f>
        <v>3</v>
      </c>
      <c r="C344" t="str">
        <f>VLOOKUP(A344,'Fox1'!A:E,5,FALSE)</f>
        <v>EMP</v>
      </c>
      <c r="D344" t="str">
        <f>VLOOKUP(A344,'Fox1'!A:F,6,FALSE)</f>
        <v>Damage and disable nearby mechanized enemy units.</v>
      </c>
      <c r="E344">
        <f t="shared" si="10"/>
        <v>4</v>
      </c>
      <c r="F344">
        <f t="shared" si="11"/>
        <v>402</v>
      </c>
      <c r="G344" t="str">
        <f>VLOOKUP(E344,DATA!A:C,3,FALSE)</f>
        <v>装备</v>
      </c>
      <c r="H344" t="str">
        <f>VLOOKUP(MID(A344,LEN(A344)-2,1)*1,DATA!G:H,2,FALSE)</f>
        <v>PVP</v>
      </c>
      <c r="I344" t="str">
        <f>VLOOKUP(F344,DATA!B:D,3,FALSE)</f>
        <v>杀伤装备</v>
      </c>
    </row>
    <row r="345" spans="1:9" x14ac:dyDescent="0.15">
      <c r="A345">
        <v>40204003</v>
      </c>
      <c r="B345">
        <f>VLOOKUP(A345,'Fox1'!A:F,2,FALSE)</f>
        <v>4</v>
      </c>
      <c r="C345" t="str">
        <f>VLOOKUP(A345,'Fox1'!A:E,5,FALSE)</f>
        <v>EMP</v>
      </c>
      <c r="D345" t="str">
        <f>VLOOKUP(A345,'Fox1'!A:F,6,FALSE)</f>
        <v>Damage and disable nearby mechanized enemy units.</v>
      </c>
      <c r="E345">
        <f t="shared" si="10"/>
        <v>4</v>
      </c>
      <c r="F345">
        <f t="shared" si="11"/>
        <v>402</v>
      </c>
      <c r="G345" t="str">
        <f>VLOOKUP(E345,DATA!A:C,3,FALSE)</f>
        <v>装备</v>
      </c>
      <c r="H345" t="str">
        <f>VLOOKUP(MID(A345,LEN(A345)-2,1)*1,DATA!G:H,2,FALSE)</f>
        <v>PVP</v>
      </c>
      <c r="I345" t="str">
        <f>VLOOKUP(F345,DATA!B:D,3,FALSE)</f>
        <v>杀伤装备</v>
      </c>
    </row>
    <row r="346" spans="1:9" x14ac:dyDescent="0.15">
      <c r="A346">
        <v>40204004</v>
      </c>
      <c r="B346">
        <f>VLOOKUP(A346,'Fox1'!A:F,2,FALSE)</f>
        <v>5</v>
      </c>
      <c r="C346" t="str">
        <f>VLOOKUP(A346,'Fox1'!A:E,5,FALSE)</f>
        <v>EMP</v>
      </c>
      <c r="D346" t="str">
        <f>VLOOKUP(A346,'Fox1'!A:F,6,FALSE)</f>
        <v>Damage and disable nearby mechanized enemy units.</v>
      </c>
      <c r="E346">
        <f t="shared" si="10"/>
        <v>4</v>
      </c>
      <c r="F346">
        <f t="shared" si="11"/>
        <v>402</v>
      </c>
      <c r="G346" t="str">
        <f>VLOOKUP(E346,DATA!A:C,3,FALSE)</f>
        <v>装备</v>
      </c>
      <c r="H346" t="str">
        <f>VLOOKUP(MID(A346,LEN(A346)-2,1)*1,DATA!G:H,2,FALSE)</f>
        <v>PVP</v>
      </c>
      <c r="I346" t="str">
        <f>VLOOKUP(F346,DATA!B:D,3,FALSE)</f>
        <v>杀伤装备</v>
      </c>
    </row>
    <row r="347" spans="1:9" x14ac:dyDescent="0.15">
      <c r="A347">
        <v>40204005</v>
      </c>
      <c r="B347">
        <f>VLOOKUP(A347,'Fox1'!A:F,2,FALSE)</f>
        <v>1</v>
      </c>
      <c r="C347" t="str">
        <f>VLOOKUP(A347,'Fox1'!A:E,5,FALSE)</f>
        <v>EMP</v>
      </c>
      <c r="D347" t="str">
        <f>VLOOKUP(A347,'Fox1'!A:F,6,FALSE)</f>
        <v>Damage and disable nearby mechanized enemy units.</v>
      </c>
      <c r="E347">
        <f t="shared" si="10"/>
        <v>4</v>
      </c>
      <c r="F347">
        <f t="shared" si="11"/>
        <v>402</v>
      </c>
      <c r="G347" t="str">
        <f>VLOOKUP(E347,DATA!A:C,3,FALSE)</f>
        <v>装备</v>
      </c>
      <c r="H347" t="str">
        <f>VLOOKUP(MID(A347,LEN(A347)-2,1)*1,DATA!G:H,2,FALSE)</f>
        <v>PVP</v>
      </c>
      <c r="I347" t="str">
        <f>VLOOKUP(F347,DATA!B:D,3,FALSE)</f>
        <v>杀伤装备</v>
      </c>
    </row>
    <row r="348" spans="1:9" x14ac:dyDescent="0.15">
      <c r="A348">
        <v>50001101</v>
      </c>
      <c r="B348">
        <f>VLOOKUP(A348,'Fox1'!A:F,2,FALSE)</f>
        <v>2</v>
      </c>
      <c r="C348" t="str">
        <f>VLOOKUP(A348,'Fox1'!A:E,5,FALSE)</f>
        <v>Electric Cherry</v>
      </c>
      <c r="D348" t="str">
        <f>VLOOKUP(A348,'Fox1'!A:F,6,FALSE)</f>
        <v>20% Chance on reload to stun nearby enemies(1 meter) by 1 seconds.</v>
      </c>
      <c r="E348">
        <f t="shared" si="10"/>
        <v>5</v>
      </c>
      <c r="F348">
        <f t="shared" si="11"/>
        <v>500</v>
      </c>
      <c r="G348" t="str">
        <f>VLOOKUP(E348,DATA!A:C,3,FALSE)</f>
        <v>Perk</v>
      </c>
      <c r="H348" t="str">
        <f>VLOOKUP(MID(A348,LEN(A348)-2,1)*1,DATA!G:H,2,FALSE)</f>
        <v>PVE</v>
      </c>
      <c r="I348" t="str">
        <f>VLOOKUP(F348,DATA!B:D,3,FALSE)</f>
        <v>类型0</v>
      </c>
    </row>
    <row r="349" spans="1:9" x14ac:dyDescent="0.15">
      <c r="A349">
        <v>50001102</v>
      </c>
      <c r="B349">
        <f>VLOOKUP(A349,'Fox1'!A:F,2,FALSE)</f>
        <v>1</v>
      </c>
      <c r="C349" t="str">
        <f>VLOOKUP(A349,'Fox1'!A:E,5,FALSE)</f>
        <v>Electric Cherry</v>
      </c>
      <c r="D349" t="str">
        <f>VLOOKUP(A349,'Fox1'!A:F,6,FALSE)</f>
        <v>35% Chance on reload to stun nearby enemies(1 meter) by 1 seconds.</v>
      </c>
      <c r="E349">
        <f t="shared" si="10"/>
        <v>5</v>
      </c>
      <c r="F349">
        <f t="shared" si="11"/>
        <v>500</v>
      </c>
      <c r="G349" t="str">
        <f>VLOOKUP(E349,DATA!A:C,3,FALSE)</f>
        <v>Perk</v>
      </c>
      <c r="H349" t="str">
        <f>VLOOKUP(MID(A349,LEN(A349)-2,1)*1,DATA!G:H,2,FALSE)</f>
        <v>PVE</v>
      </c>
      <c r="I349" t="str">
        <f>VLOOKUP(F349,DATA!B:D,3,FALSE)</f>
        <v>类型0</v>
      </c>
    </row>
    <row r="350" spans="1:9" x14ac:dyDescent="0.15">
      <c r="A350">
        <v>50001103</v>
      </c>
      <c r="B350">
        <f>VLOOKUP(A350,'Fox1'!A:F,2,FALSE)</f>
        <v>4</v>
      </c>
      <c r="C350" t="str">
        <f>VLOOKUP(A350,'Fox1'!A:E,5,FALSE)</f>
        <v>Electric Cherry</v>
      </c>
      <c r="D350" t="str">
        <f>VLOOKUP(A350,'Fox1'!A:F,6,FALSE)</f>
        <v>60% Chance on reload to stun nearby enemies(1 meter) by 1 seconds.</v>
      </c>
      <c r="E350">
        <f t="shared" si="10"/>
        <v>5</v>
      </c>
      <c r="F350">
        <f t="shared" si="11"/>
        <v>500</v>
      </c>
      <c r="G350" t="str">
        <f>VLOOKUP(E350,DATA!A:C,3,FALSE)</f>
        <v>Perk</v>
      </c>
      <c r="H350" t="str">
        <f>VLOOKUP(MID(A350,LEN(A350)-2,1)*1,DATA!G:H,2,FALSE)</f>
        <v>PVE</v>
      </c>
      <c r="I350" t="str">
        <f>VLOOKUP(F350,DATA!B:D,3,FALSE)</f>
        <v>类型0</v>
      </c>
    </row>
    <row r="351" spans="1:9" x14ac:dyDescent="0.15">
      <c r="A351">
        <v>50001104</v>
      </c>
      <c r="B351">
        <f>VLOOKUP(A351,'Fox1'!A:F,2,FALSE)</f>
        <v>5</v>
      </c>
      <c r="C351" t="str">
        <f>VLOOKUP(A351,'Fox1'!A:E,5,FALSE)</f>
        <v>Electric Cherry</v>
      </c>
      <c r="D351" t="str">
        <f>VLOOKUP(A351,'Fox1'!A:F,6,FALSE)</f>
        <v>100% Chance on reload to stun nearby enemies(1 meter) by 1 seconds.</v>
      </c>
      <c r="E351">
        <f t="shared" si="10"/>
        <v>5</v>
      </c>
      <c r="F351">
        <f t="shared" si="11"/>
        <v>500</v>
      </c>
      <c r="G351" t="str">
        <f>VLOOKUP(E351,DATA!A:C,3,FALSE)</f>
        <v>Perk</v>
      </c>
      <c r="H351" t="str">
        <f>VLOOKUP(MID(A351,LEN(A351)-2,1)*1,DATA!G:H,2,FALSE)</f>
        <v>PVE</v>
      </c>
      <c r="I351" t="str">
        <f>VLOOKUP(F351,DATA!B:D,3,FALSE)</f>
        <v>类型0</v>
      </c>
    </row>
    <row r="352" spans="1:9" x14ac:dyDescent="0.15">
      <c r="A352">
        <v>50002101</v>
      </c>
      <c r="B352">
        <f>VLOOKUP(A352,'Fox1'!A:F,2,FALSE)</f>
        <v>2</v>
      </c>
      <c r="C352" t="str">
        <f>VLOOKUP(A352,'Fox1'!A:E,5,FALSE)</f>
        <v>Fleet-Foot</v>
      </c>
      <c r="D352" t="str">
        <f>VLOOKUP(A352,'Fox1'!A:F,6,FALSE)</f>
        <v>After taking damage, increase movement speed by 10% for 2 seconds.</v>
      </c>
      <c r="E352">
        <f t="shared" si="10"/>
        <v>5</v>
      </c>
      <c r="F352">
        <f t="shared" si="11"/>
        <v>500</v>
      </c>
      <c r="G352" t="str">
        <f>VLOOKUP(E352,DATA!A:C,3,FALSE)</f>
        <v>Perk</v>
      </c>
      <c r="H352" t="str">
        <f>VLOOKUP(MID(A352,LEN(A352)-2,1)*1,DATA!G:H,2,FALSE)</f>
        <v>PVE</v>
      </c>
      <c r="I352" t="str">
        <f>VLOOKUP(F352,DATA!B:D,3,FALSE)</f>
        <v>类型0</v>
      </c>
    </row>
    <row r="353" spans="1:9" x14ac:dyDescent="0.15">
      <c r="A353">
        <v>50002102</v>
      </c>
      <c r="B353">
        <f>VLOOKUP(A353,'Fox1'!A:F,2,FALSE)</f>
        <v>1</v>
      </c>
      <c r="C353" t="str">
        <f>VLOOKUP(A353,'Fox1'!A:E,5,FALSE)</f>
        <v>Fleet-Foot</v>
      </c>
      <c r="D353" t="str">
        <f>VLOOKUP(A353,'Fox1'!A:F,6,FALSE)</f>
        <v>After taking damage, increase movement speed by 15% for 2 seconds.</v>
      </c>
      <c r="E353">
        <f t="shared" si="10"/>
        <v>5</v>
      </c>
      <c r="F353">
        <f t="shared" si="11"/>
        <v>500</v>
      </c>
      <c r="G353" t="str">
        <f>VLOOKUP(E353,DATA!A:C,3,FALSE)</f>
        <v>Perk</v>
      </c>
      <c r="H353" t="str">
        <f>VLOOKUP(MID(A353,LEN(A353)-2,1)*1,DATA!G:H,2,FALSE)</f>
        <v>PVE</v>
      </c>
      <c r="I353" t="str">
        <f>VLOOKUP(F353,DATA!B:D,3,FALSE)</f>
        <v>类型0</v>
      </c>
    </row>
    <row r="354" spans="1:9" x14ac:dyDescent="0.15">
      <c r="A354">
        <v>50002103</v>
      </c>
      <c r="B354">
        <f>VLOOKUP(A354,'Fox1'!A:F,2,FALSE)</f>
        <v>4</v>
      </c>
      <c r="C354" t="str">
        <f>VLOOKUP(A354,'Fox1'!A:E,5,FALSE)</f>
        <v>Fleet-Foot</v>
      </c>
      <c r="D354" t="str">
        <f>VLOOKUP(A354,'Fox1'!A:F,6,FALSE)</f>
        <v>After taking damage, increase movement speed by 25% for 2 seconds.</v>
      </c>
      <c r="E354">
        <f t="shared" si="10"/>
        <v>5</v>
      </c>
      <c r="F354">
        <f t="shared" si="11"/>
        <v>500</v>
      </c>
      <c r="G354" t="str">
        <f>VLOOKUP(E354,DATA!A:C,3,FALSE)</f>
        <v>Perk</v>
      </c>
      <c r="H354" t="str">
        <f>VLOOKUP(MID(A354,LEN(A354)-2,1)*1,DATA!G:H,2,FALSE)</f>
        <v>PVE</v>
      </c>
      <c r="I354" t="str">
        <f>VLOOKUP(F354,DATA!B:D,3,FALSE)</f>
        <v>类型0</v>
      </c>
    </row>
    <row r="355" spans="1:9" x14ac:dyDescent="0.15">
      <c r="A355">
        <v>50002104</v>
      </c>
      <c r="B355">
        <f>VLOOKUP(A355,'Fox1'!A:F,2,FALSE)</f>
        <v>5</v>
      </c>
      <c r="C355" t="str">
        <f>VLOOKUP(A355,'Fox1'!A:E,5,FALSE)</f>
        <v>Fleet-Foot</v>
      </c>
      <c r="D355" t="str">
        <f>VLOOKUP(A355,'Fox1'!A:F,6,FALSE)</f>
        <v xml:space="preserve">After taking damage, increase movement speed by 25% and reduce damage taken by 30% for the next  2 seconds. </v>
      </c>
      <c r="E355">
        <f t="shared" si="10"/>
        <v>5</v>
      </c>
      <c r="F355">
        <f t="shared" si="11"/>
        <v>500</v>
      </c>
      <c r="G355" t="str">
        <f>VLOOKUP(E355,DATA!A:C,3,FALSE)</f>
        <v>Perk</v>
      </c>
      <c r="H355" t="str">
        <f>VLOOKUP(MID(A355,LEN(A355)-2,1)*1,DATA!G:H,2,FALSE)</f>
        <v>PVE</v>
      </c>
      <c r="I355" t="str">
        <f>VLOOKUP(F355,DATA!B:D,3,FALSE)</f>
        <v>类型0</v>
      </c>
    </row>
    <row r="356" spans="1:9" x14ac:dyDescent="0.15">
      <c r="A356">
        <v>50003101</v>
      </c>
      <c r="B356">
        <f>VLOOKUP(A356,'Fox1'!A:F,2,FALSE)</f>
        <v>2</v>
      </c>
      <c r="C356" t="str">
        <f>VLOOKUP(A356,'Fox1'!A:E,5,FALSE)</f>
        <v>Gecko</v>
      </c>
      <c r="D356" t="str">
        <f>VLOOKUP(A356,'Fox1'!A:F,6,FALSE)</f>
        <v>Slowly regenerates lost health at 0.3% per second.</v>
      </c>
      <c r="E356">
        <f t="shared" si="10"/>
        <v>5</v>
      </c>
      <c r="F356">
        <f t="shared" si="11"/>
        <v>500</v>
      </c>
      <c r="G356" t="str">
        <f>VLOOKUP(E356,DATA!A:C,3,FALSE)</f>
        <v>Perk</v>
      </c>
      <c r="H356" t="str">
        <f>VLOOKUP(MID(A356,LEN(A356)-2,1)*1,DATA!G:H,2,FALSE)</f>
        <v>PVE</v>
      </c>
      <c r="I356" t="str">
        <f>VLOOKUP(F356,DATA!B:D,3,FALSE)</f>
        <v>类型0</v>
      </c>
    </row>
    <row r="357" spans="1:9" x14ac:dyDescent="0.15">
      <c r="A357">
        <v>50003102</v>
      </c>
      <c r="B357">
        <f>VLOOKUP(A357,'Fox1'!A:F,2,FALSE)</f>
        <v>1</v>
      </c>
      <c r="C357" t="str">
        <f>VLOOKUP(A357,'Fox1'!A:E,5,FALSE)</f>
        <v>Gecko</v>
      </c>
      <c r="D357" t="str">
        <f>VLOOKUP(A357,'Fox1'!A:F,6,FALSE)</f>
        <v>Slowly regenerates lost health at 0.5% per second.</v>
      </c>
      <c r="E357">
        <f t="shared" si="10"/>
        <v>5</v>
      </c>
      <c r="F357">
        <f t="shared" si="11"/>
        <v>500</v>
      </c>
      <c r="G357" t="str">
        <f>VLOOKUP(E357,DATA!A:C,3,FALSE)</f>
        <v>Perk</v>
      </c>
      <c r="H357" t="str">
        <f>VLOOKUP(MID(A357,LEN(A357)-2,1)*1,DATA!G:H,2,FALSE)</f>
        <v>PVE</v>
      </c>
      <c r="I357" t="str">
        <f>VLOOKUP(F357,DATA!B:D,3,FALSE)</f>
        <v>类型0</v>
      </c>
    </row>
    <row r="358" spans="1:9" x14ac:dyDescent="0.15">
      <c r="A358">
        <v>50003103</v>
      </c>
      <c r="B358">
        <f>VLOOKUP(A358,'Fox1'!A:F,2,FALSE)</f>
        <v>4</v>
      </c>
      <c r="C358" t="str">
        <f>VLOOKUP(A358,'Fox1'!A:E,5,FALSE)</f>
        <v>Gecko</v>
      </c>
      <c r="D358" t="str">
        <f>VLOOKUP(A358,'Fox1'!A:F,6,FALSE)</f>
        <v xml:space="preserve">Slowly regenerates lost health at 0.75% per second. </v>
      </c>
      <c r="E358">
        <f t="shared" si="10"/>
        <v>5</v>
      </c>
      <c r="F358">
        <f t="shared" si="11"/>
        <v>500</v>
      </c>
      <c r="G358" t="str">
        <f>VLOOKUP(E358,DATA!A:C,3,FALSE)</f>
        <v>Perk</v>
      </c>
      <c r="H358" t="str">
        <f>VLOOKUP(MID(A358,LEN(A358)-2,1)*1,DATA!G:H,2,FALSE)</f>
        <v>PVE</v>
      </c>
      <c r="I358" t="str">
        <f>VLOOKUP(F358,DATA!B:D,3,FALSE)</f>
        <v>类型0</v>
      </c>
    </row>
    <row r="359" spans="1:9" x14ac:dyDescent="0.15">
      <c r="A359">
        <v>50003104</v>
      </c>
      <c r="B359">
        <f>VLOOKUP(A359,'Fox1'!A:F,2,FALSE)</f>
        <v>5</v>
      </c>
      <c r="C359" t="str">
        <f>VLOOKUP(A359,'Fox1'!A:E,5,FALSE)</f>
        <v>Gecko</v>
      </c>
      <c r="D359" t="str">
        <f>VLOOKUP(A359,'Fox1'!A:F,6,FALSE)</f>
        <v>Slowly regenerates lost health at 1% per second.</v>
      </c>
      <c r="E359">
        <f t="shared" si="10"/>
        <v>5</v>
      </c>
      <c r="F359">
        <f t="shared" si="11"/>
        <v>500</v>
      </c>
      <c r="G359" t="str">
        <f>VLOOKUP(E359,DATA!A:C,3,FALSE)</f>
        <v>Perk</v>
      </c>
      <c r="H359" t="str">
        <f>VLOOKUP(MID(A359,LEN(A359)-2,1)*1,DATA!G:H,2,FALSE)</f>
        <v>PVE</v>
      </c>
      <c r="I359" t="str">
        <f>VLOOKUP(F359,DATA!B:D,3,FALSE)</f>
        <v>类型0</v>
      </c>
    </row>
    <row r="360" spans="1:9" x14ac:dyDescent="0.15">
      <c r="A360">
        <v>50004101</v>
      </c>
      <c r="B360">
        <f>VLOOKUP(A360,'Fox1'!A:F,2,FALSE)</f>
        <v>2</v>
      </c>
      <c r="C360" t="str">
        <f>VLOOKUP(A360,'Fox1'!A:E,5,FALSE)</f>
        <v>Beefcake</v>
      </c>
      <c r="D360" t="str">
        <f>VLOOKUP(A360,'Fox1'!A:F,6,FALSE)</f>
        <v>Increase melee damage by 20%</v>
      </c>
      <c r="E360">
        <f t="shared" si="10"/>
        <v>5</v>
      </c>
      <c r="F360">
        <f t="shared" si="11"/>
        <v>500</v>
      </c>
      <c r="G360" t="str">
        <f>VLOOKUP(E360,DATA!A:C,3,FALSE)</f>
        <v>Perk</v>
      </c>
      <c r="H360" t="str">
        <f>VLOOKUP(MID(A360,LEN(A360)-2,1)*1,DATA!G:H,2,FALSE)</f>
        <v>PVE</v>
      </c>
      <c r="I360" t="str">
        <f>VLOOKUP(F360,DATA!B:D,3,FALSE)</f>
        <v>类型0</v>
      </c>
    </row>
    <row r="361" spans="1:9" x14ac:dyDescent="0.15">
      <c r="A361">
        <v>50004102</v>
      </c>
      <c r="B361">
        <f>VLOOKUP(A361,'Fox1'!A:F,2,FALSE)</f>
        <v>1</v>
      </c>
      <c r="C361" t="str">
        <f>VLOOKUP(A361,'Fox1'!A:E,5,FALSE)</f>
        <v>Beefcake</v>
      </c>
      <c r="D361" t="str">
        <f>VLOOKUP(A361,'Fox1'!A:F,6,FALSE)</f>
        <v>Increase melee damage by 30%</v>
      </c>
      <c r="E361">
        <f t="shared" si="10"/>
        <v>5</v>
      </c>
      <c r="F361">
        <f t="shared" si="11"/>
        <v>500</v>
      </c>
      <c r="G361" t="str">
        <f>VLOOKUP(E361,DATA!A:C,3,FALSE)</f>
        <v>Perk</v>
      </c>
      <c r="H361" t="str">
        <f>VLOOKUP(MID(A361,LEN(A361)-2,1)*1,DATA!G:H,2,FALSE)</f>
        <v>PVE</v>
      </c>
      <c r="I361" t="str">
        <f>VLOOKUP(F361,DATA!B:D,3,FALSE)</f>
        <v>类型0</v>
      </c>
    </row>
    <row r="362" spans="1:9" x14ac:dyDescent="0.15">
      <c r="A362">
        <v>50004103</v>
      </c>
      <c r="B362">
        <f>VLOOKUP(A362,'Fox1'!A:F,2,FALSE)</f>
        <v>4</v>
      </c>
      <c r="C362" t="str">
        <f>VLOOKUP(A362,'Fox1'!A:E,5,FALSE)</f>
        <v>Beefcake</v>
      </c>
      <c r="D362" t="str">
        <f>VLOOKUP(A362,'Fox1'!A:F,6,FALSE)</f>
        <v>Increase melee attack speed by 20%. Increase melee damage by 30%</v>
      </c>
      <c r="E362">
        <f t="shared" si="10"/>
        <v>5</v>
      </c>
      <c r="F362">
        <f t="shared" si="11"/>
        <v>500</v>
      </c>
      <c r="G362" t="str">
        <f>VLOOKUP(E362,DATA!A:C,3,FALSE)</f>
        <v>Perk</v>
      </c>
      <c r="H362" t="str">
        <f>VLOOKUP(MID(A362,LEN(A362)-2,1)*1,DATA!G:H,2,FALSE)</f>
        <v>PVE</v>
      </c>
      <c r="I362" t="str">
        <f>VLOOKUP(F362,DATA!B:D,3,FALSE)</f>
        <v>类型0</v>
      </c>
    </row>
    <row r="363" spans="1:9" x14ac:dyDescent="0.15">
      <c r="A363">
        <v>50004104</v>
      </c>
      <c r="B363">
        <f>VLOOKUP(A363,'Fox1'!A:F,2,FALSE)</f>
        <v>5</v>
      </c>
      <c r="C363" t="str">
        <f>VLOOKUP(A363,'Fox1'!A:E,5,FALSE)</f>
        <v>Beefcake</v>
      </c>
      <c r="D363" t="str">
        <f>VLOOKUP(A363,'Fox1'!A:F,6,FALSE)</f>
        <v>Increase melee attack speed by 20%. Increase melee damage by 30%. Reduce melee damage taken by 25%.</v>
      </c>
      <c r="E363">
        <f t="shared" si="10"/>
        <v>5</v>
      </c>
      <c r="F363">
        <f t="shared" si="11"/>
        <v>500</v>
      </c>
      <c r="G363" t="str">
        <f>VLOOKUP(E363,DATA!A:C,3,FALSE)</f>
        <v>Perk</v>
      </c>
      <c r="H363" t="str">
        <f>VLOOKUP(MID(A363,LEN(A363)-2,1)*1,DATA!G:H,2,FALSE)</f>
        <v>PVE</v>
      </c>
      <c r="I363" t="str">
        <f>VLOOKUP(F363,DATA!B:D,3,FALSE)</f>
        <v>类型0</v>
      </c>
    </row>
    <row r="364" spans="1:9" x14ac:dyDescent="0.15">
      <c r="A364">
        <v>50005101</v>
      </c>
      <c r="B364">
        <f>VLOOKUP(A364,'Fox1'!A:F,2,FALSE)</f>
        <v>2</v>
      </c>
      <c r="C364" t="str">
        <f>VLOOKUP(A364,'Fox1'!A:E,5,FALSE)</f>
        <v>Bloodthirsty</v>
      </c>
      <c r="D364" t="str">
        <f>VLOOKUP(A364,'Fox1'!A:F,6,FALSE)</f>
        <v>Every successful melee hit will recover your health by 3%</v>
      </c>
      <c r="E364">
        <f t="shared" si="10"/>
        <v>5</v>
      </c>
      <c r="F364">
        <f t="shared" si="11"/>
        <v>500</v>
      </c>
      <c r="G364" t="str">
        <f>VLOOKUP(E364,DATA!A:C,3,FALSE)</f>
        <v>Perk</v>
      </c>
      <c r="H364" t="str">
        <f>VLOOKUP(MID(A364,LEN(A364)-2,1)*1,DATA!G:H,2,FALSE)</f>
        <v>PVE</v>
      </c>
      <c r="I364" t="str">
        <f>VLOOKUP(F364,DATA!B:D,3,FALSE)</f>
        <v>类型0</v>
      </c>
    </row>
    <row r="365" spans="1:9" x14ac:dyDescent="0.15">
      <c r="A365">
        <v>50005102</v>
      </c>
      <c r="B365">
        <f>VLOOKUP(A365,'Fox1'!A:F,2,FALSE)</f>
        <v>1</v>
      </c>
      <c r="C365" t="str">
        <f>VLOOKUP(A365,'Fox1'!A:E,5,FALSE)</f>
        <v>Bloodthirsty</v>
      </c>
      <c r="D365" t="str">
        <f>VLOOKUP(A365,'Fox1'!A:F,6,FALSE)</f>
        <v>Every successful melee hit will recover your health by 5%</v>
      </c>
      <c r="E365">
        <f t="shared" si="10"/>
        <v>5</v>
      </c>
      <c r="F365">
        <f t="shared" si="11"/>
        <v>500</v>
      </c>
      <c r="G365" t="str">
        <f>VLOOKUP(E365,DATA!A:C,3,FALSE)</f>
        <v>Perk</v>
      </c>
      <c r="H365" t="str">
        <f>VLOOKUP(MID(A365,LEN(A365)-2,1)*1,DATA!G:H,2,FALSE)</f>
        <v>PVE</v>
      </c>
      <c r="I365" t="str">
        <f>VLOOKUP(F365,DATA!B:D,3,FALSE)</f>
        <v>类型0</v>
      </c>
    </row>
    <row r="366" spans="1:9" x14ac:dyDescent="0.15">
      <c r="A366">
        <v>50005103</v>
      </c>
      <c r="B366">
        <f>VLOOKUP(A366,'Fox1'!A:F,2,FALSE)</f>
        <v>4</v>
      </c>
      <c r="C366" t="str">
        <f>VLOOKUP(A366,'Fox1'!A:E,5,FALSE)</f>
        <v>Bloodthirsty</v>
      </c>
      <c r="D366" t="str">
        <f>VLOOKUP(A366,'Fox1'!A:F,6,FALSE)</f>
        <v>Every successful melee hit will recover your health by 7.5%</v>
      </c>
      <c r="E366">
        <f t="shared" si="10"/>
        <v>5</v>
      </c>
      <c r="F366">
        <f t="shared" si="11"/>
        <v>500</v>
      </c>
      <c r="G366" t="str">
        <f>VLOOKUP(E366,DATA!A:C,3,FALSE)</f>
        <v>Perk</v>
      </c>
      <c r="H366" t="str">
        <f>VLOOKUP(MID(A366,LEN(A366)-2,1)*1,DATA!G:H,2,FALSE)</f>
        <v>PVE</v>
      </c>
      <c r="I366" t="str">
        <f>VLOOKUP(F366,DATA!B:D,3,FALSE)</f>
        <v>类型0</v>
      </c>
    </row>
    <row r="367" spans="1:9" x14ac:dyDescent="0.15">
      <c r="A367">
        <v>50005104</v>
      </c>
      <c r="B367">
        <f>VLOOKUP(A367,'Fox1'!A:F,2,FALSE)</f>
        <v>5</v>
      </c>
      <c r="C367" t="str">
        <f>VLOOKUP(A367,'Fox1'!A:E,5,FALSE)</f>
        <v>Bloodthirsty</v>
      </c>
      <c r="D367" t="str">
        <f>VLOOKUP(A367,'Fox1'!A:F,6,FALSE)</f>
        <v>Every successful melee hit will recover your health by 10%</v>
      </c>
      <c r="E367">
        <f t="shared" si="10"/>
        <v>5</v>
      </c>
      <c r="F367">
        <f t="shared" si="11"/>
        <v>500</v>
      </c>
      <c r="G367" t="str">
        <f>VLOOKUP(E367,DATA!A:C,3,FALSE)</f>
        <v>Perk</v>
      </c>
      <c r="H367" t="str">
        <f>VLOOKUP(MID(A367,LEN(A367)-2,1)*1,DATA!G:H,2,FALSE)</f>
        <v>PVE</v>
      </c>
      <c r="I367" t="str">
        <f>VLOOKUP(F367,DATA!B:D,3,FALSE)</f>
        <v>类型0</v>
      </c>
    </row>
    <row r="368" spans="1:9" x14ac:dyDescent="0.15">
      <c r="A368">
        <v>50006101</v>
      </c>
      <c r="B368">
        <f>VLOOKUP(A368,'Fox1'!A:F,2,FALSE)</f>
        <v>2</v>
      </c>
      <c r="C368" t="str">
        <f>VLOOKUP(A368,'Fox1'!A:E,5,FALSE)</f>
        <v>Hasten</v>
      </c>
      <c r="D368" t="str">
        <f>VLOOKUP(A368,'Fox1'!A:F,6,FALSE)</f>
        <v>Character skill recharge 10% faster.</v>
      </c>
      <c r="E368">
        <f t="shared" si="10"/>
        <v>5</v>
      </c>
      <c r="F368">
        <f t="shared" si="11"/>
        <v>500</v>
      </c>
      <c r="G368" t="str">
        <f>VLOOKUP(E368,DATA!A:C,3,FALSE)</f>
        <v>Perk</v>
      </c>
      <c r="H368" t="str">
        <f>VLOOKUP(MID(A368,LEN(A368)-2,1)*1,DATA!G:H,2,FALSE)</f>
        <v>PVE</v>
      </c>
      <c r="I368" t="str">
        <f>VLOOKUP(F368,DATA!B:D,3,FALSE)</f>
        <v>类型0</v>
      </c>
    </row>
    <row r="369" spans="1:9" x14ac:dyDescent="0.15">
      <c r="A369">
        <v>50006102</v>
      </c>
      <c r="B369">
        <f>VLOOKUP(A369,'Fox1'!A:F,2,FALSE)</f>
        <v>1</v>
      </c>
      <c r="C369" t="str">
        <f>VLOOKUP(A369,'Fox1'!A:E,5,FALSE)</f>
        <v>Hasten</v>
      </c>
      <c r="D369" t="str">
        <f>VLOOKUP(A369,'Fox1'!A:F,6,FALSE)</f>
        <v>Character skill recharge 15% faster.</v>
      </c>
      <c r="E369">
        <f t="shared" si="10"/>
        <v>5</v>
      </c>
      <c r="F369">
        <f t="shared" si="11"/>
        <v>500</v>
      </c>
      <c r="G369" t="str">
        <f>VLOOKUP(E369,DATA!A:C,3,FALSE)</f>
        <v>Perk</v>
      </c>
      <c r="H369" t="str">
        <f>VLOOKUP(MID(A369,LEN(A369)-2,1)*1,DATA!G:H,2,FALSE)</f>
        <v>PVE</v>
      </c>
      <c r="I369" t="str">
        <f>VLOOKUP(F369,DATA!B:D,3,FALSE)</f>
        <v>类型0</v>
      </c>
    </row>
    <row r="370" spans="1:9" x14ac:dyDescent="0.15">
      <c r="A370">
        <v>50006103</v>
      </c>
      <c r="B370">
        <f>VLOOKUP(A370,'Fox1'!A:F,2,FALSE)</f>
        <v>4</v>
      </c>
      <c r="C370" t="str">
        <f>VLOOKUP(A370,'Fox1'!A:E,5,FALSE)</f>
        <v>Hasten</v>
      </c>
      <c r="D370" t="str">
        <f>VLOOKUP(A370,'Fox1'!A:F,6,FALSE)</f>
        <v>Character skill recharge 20% faster.</v>
      </c>
      <c r="E370">
        <f t="shared" si="10"/>
        <v>5</v>
      </c>
      <c r="F370">
        <f t="shared" si="11"/>
        <v>500</v>
      </c>
      <c r="G370" t="str">
        <f>VLOOKUP(E370,DATA!A:C,3,FALSE)</f>
        <v>Perk</v>
      </c>
      <c r="H370" t="str">
        <f>VLOOKUP(MID(A370,LEN(A370)-2,1)*1,DATA!G:H,2,FALSE)</f>
        <v>PVE</v>
      </c>
      <c r="I370" t="str">
        <f>VLOOKUP(F370,DATA!B:D,3,FALSE)</f>
        <v>类型0</v>
      </c>
    </row>
    <row r="371" spans="1:9" x14ac:dyDescent="0.15">
      <c r="A371">
        <v>50006104</v>
      </c>
      <c r="B371">
        <f>VLOOKUP(A371,'Fox1'!A:F,2,FALSE)</f>
        <v>5</v>
      </c>
      <c r="C371" t="str">
        <f>VLOOKUP(A371,'Fox1'!A:E,5,FALSE)</f>
        <v>Hasten</v>
      </c>
      <c r="D371" t="str">
        <f>VLOOKUP(A371,'Fox1'!A:F,6,FALSE)</f>
        <v>Character skill recharge 25% faster.</v>
      </c>
      <c r="E371">
        <f t="shared" si="10"/>
        <v>5</v>
      </c>
      <c r="F371">
        <f t="shared" si="11"/>
        <v>500</v>
      </c>
      <c r="G371" t="str">
        <f>VLOOKUP(E371,DATA!A:C,3,FALSE)</f>
        <v>Perk</v>
      </c>
      <c r="H371" t="str">
        <f>VLOOKUP(MID(A371,LEN(A371)-2,1)*1,DATA!G:H,2,FALSE)</f>
        <v>PVE</v>
      </c>
      <c r="I371" t="str">
        <f>VLOOKUP(F371,DATA!B:D,3,FALSE)</f>
        <v>类型0</v>
      </c>
    </row>
    <row r="372" spans="1:9" x14ac:dyDescent="0.15">
      <c r="A372">
        <v>50007101</v>
      </c>
      <c r="B372">
        <f>VLOOKUP(A372,'Fox1'!A:F,2,FALSE)</f>
        <v>2</v>
      </c>
      <c r="C372" t="str">
        <f>VLOOKUP(A372,'Fox1'!A:E,5,FALSE)</f>
        <v>DoubleTap</v>
      </c>
      <c r="D372" t="str">
        <f>VLOOKUP(A372,'Fox1'!A:F,6,FALSE)</f>
        <v>(Zombie mode only) Increase rate of fire by 10%</v>
      </c>
      <c r="E372">
        <f t="shared" si="10"/>
        <v>5</v>
      </c>
      <c r="F372">
        <f t="shared" si="11"/>
        <v>500</v>
      </c>
      <c r="G372" t="str">
        <f>VLOOKUP(E372,DATA!A:C,3,FALSE)</f>
        <v>Perk</v>
      </c>
      <c r="H372" t="str">
        <f>VLOOKUP(MID(A372,LEN(A372)-2,1)*1,DATA!G:H,2,FALSE)</f>
        <v>PVE</v>
      </c>
      <c r="I372" t="str">
        <f>VLOOKUP(F372,DATA!B:D,3,FALSE)</f>
        <v>类型0</v>
      </c>
    </row>
    <row r="373" spans="1:9" x14ac:dyDescent="0.15">
      <c r="A373">
        <v>50007102</v>
      </c>
      <c r="B373">
        <f>VLOOKUP(A373,'Fox1'!A:F,2,FALSE)</f>
        <v>1</v>
      </c>
      <c r="C373" t="str">
        <f>VLOOKUP(A373,'Fox1'!A:E,5,FALSE)</f>
        <v>DoubleTap</v>
      </c>
      <c r="D373" t="str">
        <f>VLOOKUP(A373,'Fox1'!A:F,6,FALSE)</f>
        <v>(Zombie mode only) Increase rate of fire by 15%</v>
      </c>
      <c r="E373">
        <f t="shared" si="10"/>
        <v>5</v>
      </c>
      <c r="F373">
        <f t="shared" si="11"/>
        <v>500</v>
      </c>
      <c r="G373" t="str">
        <f>VLOOKUP(E373,DATA!A:C,3,FALSE)</f>
        <v>Perk</v>
      </c>
      <c r="H373" t="str">
        <f>VLOOKUP(MID(A373,LEN(A373)-2,1)*1,DATA!G:H,2,FALSE)</f>
        <v>PVE</v>
      </c>
      <c r="I373" t="str">
        <f>VLOOKUP(F373,DATA!B:D,3,FALSE)</f>
        <v>类型0</v>
      </c>
    </row>
    <row r="374" spans="1:9" x14ac:dyDescent="0.15">
      <c r="A374">
        <v>50007103</v>
      </c>
      <c r="B374">
        <f>VLOOKUP(A374,'Fox1'!A:F,2,FALSE)</f>
        <v>4</v>
      </c>
      <c r="C374" t="str">
        <f>VLOOKUP(A374,'Fox1'!A:E,5,FALSE)</f>
        <v>DoubleTap</v>
      </c>
      <c r="D374" t="str">
        <f>VLOOKUP(A374,'Fox1'!A:F,6,FALSE)</f>
        <v>(Zombie mode only) Increase rate of fire by 20%</v>
      </c>
      <c r="E374">
        <f t="shared" si="10"/>
        <v>5</v>
      </c>
      <c r="F374">
        <f t="shared" si="11"/>
        <v>500</v>
      </c>
      <c r="G374" t="str">
        <f>VLOOKUP(E374,DATA!A:C,3,FALSE)</f>
        <v>Perk</v>
      </c>
      <c r="H374" t="str">
        <f>VLOOKUP(MID(A374,LEN(A374)-2,1)*1,DATA!G:H,2,FALSE)</f>
        <v>PVE</v>
      </c>
      <c r="I374" t="str">
        <f>VLOOKUP(F374,DATA!B:D,3,FALSE)</f>
        <v>类型0</v>
      </c>
    </row>
    <row r="375" spans="1:9" x14ac:dyDescent="0.15">
      <c r="A375">
        <v>50007104</v>
      </c>
      <c r="B375">
        <f>VLOOKUP(A375,'Fox1'!A:F,2,FALSE)</f>
        <v>5</v>
      </c>
      <c r="C375" t="str">
        <f>VLOOKUP(A375,'Fox1'!A:E,5,FALSE)</f>
        <v>DoubleTap</v>
      </c>
      <c r="D375" t="str">
        <f>VLOOKUP(A375,'Fox1'!A:F,6,FALSE)</f>
        <v>(Zombie mode only) Increase rate of fire by 25%</v>
      </c>
      <c r="E375">
        <f t="shared" si="10"/>
        <v>5</v>
      </c>
      <c r="F375">
        <f t="shared" si="11"/>
        <v>500</v>
      </c>
      <c r="G375" t="str">
        <f>VLOOKUP(E375,DATA!A:C,3,FALSE)</f>
        <v>Perk</v>
      </c>
      <c r="H375" t="str">
        <f>VLOOKUP(MID(A375,LEN(A375)-2,1)*1,DATA!G:H,2,FALSE)</f>
        <v>PVE</v>
      </c>
      <c r="I375" t="str">
        <f>VLOOKUP(F375,DATA!B:D,3,FALSE)</f>
        <v>类型0</v>
      </c>
    </row>
    <row r="376" spans="1:9" x14ac:dyDescent="0.15">
      <c r="A376">
        <v>50008101</v>
      </c>
      <c r="B376">
        <f>VLOOKUP(A376,'Fox1'!A:F,2,FALSE)</f>
        <v>2</v>
      </c>
      <c r="C376" t="str">
        <f>VLOOKUP(A376,'Fox1'!A:E,5,FALSE)</f>
        <v>Juggernaut</v>
      </c>
      <c r="D376" t="str">
        <f>VLOOKUP(A376,'Fox1'!A:F,6,FALSE)</f>
        <v>(Zombie mode only) Increase health by 10%</v>
      </c>
      <c r="E376">
        <f t="shared" si="10"/>
        <v>5</v>
      </c>
      <c r="F376">
        <f t="shared" si="11"/>
        <v>500</v>
      </c>
      <c r="G376" t="str">
        <f>VLOOKUP(E376,DATA!A:C,3,FALSE)</f>
        <v>Perk</v>
      </c>
      <c r="H376" t="str">
        <f>VLOOKUP(MID(A376,LEN(A376)-2,1)*1,DATA!G:H,2,FALSE)</f>
        <v>PVE</v>
      </c>
      <c r="I376" t="str">
        <f>VLOOKUP(F376,DATA!B:D,3,FALSE)</f>
        <v>类型0</v>
      </c>
    </row>
    <row r="377" spans="1:9" x14ac:dyDescent="0.15">
      <c r="A377">
        <v>50008102</v>
      </c>
      <c r="B377">
        <f>VLOOKUP(A377,'Fox1'!A:F,2,FALSE)</f>
        <v>1</v>
      </c>
      <c r="C377" t="str">
        <f>VLOOKUP(A377,'Fox1'!A:E,5,FALSE)</f>
        <v>Juggernaut</v>
      </c>
      <c r="D377" t="str">
        <f>VLOOKUP(A377,'Fox1'!A:F,6,FALSE)</f>
        <v>(Zombie mode only) Increase health by 20%</v>
      </c>
      <c r="E377">
        <f t="shared" si="10"/>
        <v>5</v>
      </c>
      <c r="F377">
        <f t="shared" si="11"/>
        <v>500</v>
      </c>
      <c r="G377" t="str">
        <f>VLOOKUP(E377,DATA!A:C,3,FALSE)</f>
        <v>Perk</v>
      </c>
      <c r="H377" t="str">
        <f>VLOOKUP(MID(A377,LEN(A377)-2,1)*1,DATA!G:H,2,FALSE)</f>
        <v>PVE</v>
      </c>
      <c r="I377" t="str">
        <f>VLOOKUP(F377,DATA!B:D,3,FALSE)</f>
        <v>类型0</v>
      </c>
    </row>
    <row r="378" spans="1:9" x14ac:dyDescent="0.15">
      <c r="A378">
        <v>50008103</v>
      </c>
      <c r="B378">
        <f>VLOOKUP(A378,'Fox1'!A:F,2,FALSE)</f>
        <v>4</v>
      </c>
      <c r="C378" t="str">
        <f>VLOOKUP(A378,'Fox1'!A:E,5,FALSE)</f>
        <v>Juggernaut</v>
      </c>
      <c r="D378" t="str">
        <f>VLOOKUP(A378,'Fox1'!A:F,6,FALSE)</f>
        <v>(Zombie mode only) Increase health by 30%</v>
      </c>
      <c r="E378">
        <f t="shared" si="10"/>
        <v>5</v>
      </c>
      <c r="F378">
        <f t="shared" si="11"/>
        <v>500</v>
      </c>
      <c r="G378" t="str">
        <f>VLOOKUP(E378,DATA!A:C,3,FALSE)</f>
        <v>Perk</v>
      </c>
      <c r="H378" t="str">
        <f>VLOOKUP(MID(A378,LEN(A378)-2,1)*1,DATA!G:H,2,FALSE)</f>
        <v>PVE</v>
      </c>
      <c r="I378" t="str">
        <f>VLOOKUP(F378,DATA!B:D,3,FALSE)</f>
        <v>类型0</v>
      </c>
    </row>
    <row r="379" spans="1:9" x14ac:dyDescent="0.15">
      <c r="A379">
        <v>50008104</v>
      </c>
      <c r="B379">
        <f>VLOOKUP(A379,'Fox1'!A:F,2,FALSE)</f>
        <v>5</v>
      </c>
      <c r="C379" t="str">
        <f>VLOOKUP(A379,'Fox1'!A:E,5,FALSE)</f>
        <v>Juggernaut</v>
      </c>
      <c r="D379" t="str">
        <f>VLOOKUP(A379,'Fox1'!A:F,6,FALSE)</f>
        <v>(Zombie mode only) Increase health by 40%</v>
      </c>
      <c r="E379">
        <f t="shared" si="10"/>
        <v>5</v>
      </c>
      <c r="F379">
        <f t="shared" si="11"/>
        <v>500</v>
      </c>
      <c r="G379" t="str">
        <f>VLOOKUP(E379,DATA!A:C,3,FALSE)</f>
        <v>Perk</v>
      </c>
      <c r="H379" t="str">
        <f>VLOOKUP(MID(A379,LEN(A379)-2,1)*1,DATA!G:H,2,FALSE)</f>
        <v>PVE</v>
      </c>
      <c r="I379" t="str">
        <f>VLOOKUP(F379,DATA!B:D,3,FALSE)</f>
        <v>类型0</v>
      </c>
    </row>
    <row r="380" spans="1:9" x14ac:dyDescent="0.15">
      <c r="A380">
        <v>50101000</v>
      </c>
      <c r="B380">
        <f>VLOOKUP(A380,'Fox1'!A:F,2,FALSE)</f>
        <v>1</v>
      </c>
      <c r="C380" t="str">
        <f>VLOOKUP(A380,'Fox1'!A:E,5,FALSE)</f>
        <v>Agile</v>
      </c>
      <c r="D380" t="str">
        <f>VLOOKUP(A380,'Fox1'!A:F,6,FALSE)</f>
        <v xml:space="preserve">Decrease raise delay 60% when you are running </v>
      </c>
      <c r="E380">
        <f t="shared" si="10"/>
        <v>5</v>
      </c>
      <c r="F380">
        <f t="shared" si="11"/>
        <v>501</v>
      </c>
      <c r="G380" t="str">
        <f>VLOOKUP(E380,DATA!A:C,3,FALSE)</f>
        <v>Perk</v>
      </c>
      <c r="H380" t="str">
        <f>VLOOKUP(MID(A380,LEN(A380)-2,1)*1,DATA!G:H,2,FALSE)</f>
        <v>PVP</v>
      </c>
      <c r="I380" t="str">
        <f>VLOOKUP(F380,DATA!B:D,3,FALSE)</f>
        <v>类型1</v>
      </c>
    </row>
    <row r="381" spans="1:9" x14ac:dyDescent="0.15">
      <c r="A381">
        <v>50101001</v>
      </c>
      <c r="B381">
        <f>VLOOKUP(A381,'Fox1'!A:F,2,FALSE)</f>
        <v>2</v>
      </c>
      <c r="C381" t="str">
        <f>VLOOKUP(A381,'Fox1'!A:E,5,FALSE)</f>
        <v>Agile</v>
      </c>
      <c r="D381" t="str">
        <f>VLOOKUP(A381,'Fox1'!A:F,6,FALSE)</f>
        <v xml:space="preserve">Decrease raise delay 70% when you are running </v>
      </c>
      <c r="E381">
        <f t="shared" si="10"/>
        <v>5</v>
      </c>
      <c r="F381">
        <f t="shared" si="11"/>
        <v>501</v>
      </c>
      <c r="G381" t="str">
        <f>VLOOKUP(E381,DATA!A:C,3,FALSE)</f>
        <v>Perk</v>
      </c>
      <c r="H381" t="str">
        <f>VLOOKUP(MID(A381,LEN(A381)-2,1)*1,DATA!G:H,2,FALSE)</f>
        <v>PVP</v>
      </c>
      <c r="I381" t="str">
        <f>VLOOKUP(F381,DATA!B:D,3,FALSE)</f>
        <v>类型1</v>
      </c>
    </row>
    <row r="382" spans="1:9" x14ac:dyDescent="0.15">
      <c r="A382">
        <v>50101002</v>
      </c>
      <c r="B382">
        <f>VLOOKUP(A382,'Fox1'!A:F,2,FALSE)</f>
        <v>1</v>
      </c>
      <c r="C382" t="str">
        <f>VLOOKUP(A382,'Fox1'!A:E,5,FALSE)</f>
        <v>Agile</v>
      </c>
      <c r="D382" t="str">
        <f>VLOOKUP(A382,'Fox1'!A:F,6,FALSE)</f>
        <v xml:space="preserve">Decrease raise delay 80% when you are running </v>
      </c>
      <c r="E382">
        <f t="shared" si="10"/>
        <v>5</v>
      </c>
      <c r="F382">
        <f t="shared" si="11"/>
        <v>501</v>
      </c>
      <c r="G382" t="str">
        <f>VLOOKUP(E382,DATA!A:C,3,FALSE)</f>
        <v>Perk</v>
      </c>
      <c r="H382" t="str">
        <f>VLOOKUP(MID(A382,LEN(A382)-2,1)*1,DATA!G:H,2,FALSE)</f>
        <v>PVP</v>
      </c>
      <c r="I382" t="str">
        <f>VLOOKUP(F382,DATA!B:D,3,FALSE)</f>
        <v>类型1</v>
      </c>
    </row>
    <row r="383" spans="1:9" x14ac:dyDescent="0.15">
      <c r="A383">
        <v>50101003</v>
      </c>
      <c r="B383">
        <f>VLOOKUP(A383,'Fox1'!A:F,2,FALSE)</f>
        <v>4</v>
      </c>
      <c r="C383" t="str">
        <f>VLOOKUP(A383,'Fox1'!A:E,5,FALSE)</f>
        <v>Agile</v>
      </c>
      <c r="D383" t="str">
        <f>VLOOKUP(A383,'Fox1'!A:F,6,FALSE)</f>
        <v xml:space="preserve">Decrease raise delay 85% when you are running </v>
      </c>
      <c r="E383">
        <f t="shared" si="10"/>
        <v>5</v>
      </c>
      <c r="F383">
        <f t="shared" si="11"/>
        <v>501</v>
      </c>
      <c r="G383" t="str">
        <f>VLOOKUP(E383,DATA!A:C,3,FALSE)</f>
        <v>Perk</v>
      </c>
      <c r="H383" t="str">
        <f>VLOOKUP(MID(A383,LEN(A383)-2,1)*1,DATA!G:H,2,FALSE)</f>
        <v>PVP</v>
      </c>
      <c r="I383" t="str">
        <f>VLOOKUP(F383,DATA!B:D,3,FALSE)</f>
        <v>类型1</v>
      </c>
    </row>
    <row r="384" spans="1:9" x14ac:dyDescent="0.15">
      <c r="A384">
        <v>50101004</v>
      </c>
      <c r="B384">
        <f>VLOOKUP(A384,'Fox1'!A:F,2,FALSE)</f>
        <v>5</v>
      </c>
      <c r="C384" t="str">
        <f>VLOOKUP(A384,'Fox1'!A:E,5,FALSE)</f>
        <v>Agile</v>
      </c>
      <c r="D384" t="str">
        <f>VLOOKUP(A384,'Fox1'!A:F,6,FALSE)</f>
        <v xml:space="preserve">Decrease raise delay 90% when you are running </v>
      </c>
      <c r="E384">
        <f t="shared" si="10"/>
        <v>5</v>
      </c>
      <c r="F384">
        <f t="shared" si="11"/>
        <v>501</v>
      </c>
      <c r="G384" t="str">
        <f>VLOOKUP(E384,DATA!A:C,3,FALSE)</f>
        <v>Perk</v>
      </c>
      <c r="H384" t="str">
        <f>VLOOKUP(MID(A384,LEN(A384)-2,1)*1,DATA!G:H,2,FALSE)</f>
        <v>PVP</v>
      </c>
      <c r="I384" t="str">
        <f>VLOOKUP(F384,DATA!B:D,3,FALSE)</f>
        <v>类型1</v>
      </c>
    </row>
    <row r="385" spans="1:9" x14ac:dyDescent="0.15">
      <c r="A385">
        <v>50102000</v>
      </c>
      <c r="B385">
        <f>VLOOKUP(A385,'Fox1'!A:F,2,FALSE)</f>
        <v>1</v>
      </c>
      <c r="C385" t="str">
        <f>VLOOKUP(A385,'Fox1'!A:E,5,FALSE)</f>
        <v>Harden</v>
      </c>
      <c r="D385" t="str">
        <f>VLOOKUP(A385,'Fox1'!A:F,6,FALSE)</f>
        <v>Reduce weapon sway when damaged by 30%</v>
      </c>
      <c r="E385">
        <f t="shared" si="10"/>
        <v>5</v>
      </c>
      <c r="F385">
        <f t="shared" si="11"/>
        <v>501</v>
      </c>
      <c r="G385" t="str">
        <f>VLOOKUP(E385,DATA!A:C,3,FALSE)</f>
        <v>Perk</v>
      </c>
      <c r="H385" t="str">
        <f>VLOOKUP(MID(A385,LEN(A385)-2,1)*1,DATA!G:H,2,FALSE)</f>
        <v>PVP</v>
      </c>
      <c r="I385" t="str">
        <f>VLOOKUP(F385,DATA!B:D,3,FALSE)</f>
        <v>类型1</v>
      </c>
    </row>
    <row r="386" spans="1:9" x14ac:dyDescent="0.15">
      <c r="A386">
        <v>50102001</v>
      </c>
      <c r="B386">
        <f>VLOOKUP(A386,'Fox1'!A:F,2,FALSE)</f>
        <v>2</v>
      </c>
      <c r="C386" t="str">
        <f>VLOOKUP(A386,'Fox1'!A:E,5,FALSE)</f>
        <v>Harden</v>
      </c>
      <c r="D386" t="str">
        <f>VLOOKUP(A386,'Fox1'!A:F,6,FALSE)</f>
        <v>Reduce weapon sway when damaged by 40%</v>
      </c>
      <c r="E386">
        <f t="shared" ref="E386:E449" si="12">LEFT(A386,LEN(A386)-7)*1</f>
        <v>5</v>
      </c>
      <c r="F386">
        <f t="shared" ref="F386:F449" si="13">LEFT(A386,LEN(A386)-5)*1</f>
        <v>501</v>
      </c>
      <c r="G386" t="str">
        <f>VLOOKUP(E386,DATA!A:C,3,FALSE)</f>
        <v>Perk</v>
      </c>
      <c r="H386" t="str">
        <f>VLOOKUP(MID(A386,LEN(A386)-2,1)*1,DATA!G:H,2,FALSE)</f>
        <v>PVP</v>
      </c>
      <c r="I386" t="str">
        <f>VLOOKUP(F386,DATA!B:D,3,FALSE)</f>
        <v>类型1</v>
      </c>
    </row>
    <row r="387" spans="1:9" x14ac:dyDescent="0.15">
      <c r="A387">
        <v>50102002</v>
      </c>
      <c r="B387">
        <f>VLOOKUP(A387,'Fox1'!A:F,2,FALSE)</f>
        <v>1</v>
      </c>
      <c r="C387" t="str">
        <f>VLOOKUP(A387,'Fox1'!A:E,5,FALSE)</f>
        <v>Harden</v>
      </c>
      <c r="D387" t="str">
        <f>VLOOKUP(A387,'Fox1'!A:F,6,FALSE)</f>
        <v>Reduce weapon sway when damaged by 50%</v>
      </c>
      <c r="E387">
        <f t="shared" si="12"/>
        <v>5</v>
      </c>
      <c r="F387">
        <f t="shared" si="13"/>
        <v>501</v>
      </c>
      <c r="G387" t="str">
        <f>VLOOKUP(E387,DATA!A:C,3,FALSE)</f>
        <v>Perk</v>
      </c>
      <c r="H387" t="str">
        <f>VLOOKUP(MID(A387,LEN(A387)-2,1)*1,DATA!G:H,2,FALSE)</f>
        <v>PVP</v>
      </c>
      <c r="I387" t="str">
        <f>VLOOKUP(F387,DATA!B:D,3,FALSE)</f>
        <v>类型1</v>
      </c>
    </row>
    <row r="388" spans="1:9" x14ac:dyDescent="0.15">
      <c r="A388">
        <v>50102003</v>
      </c>
      <c r="B388">
        <f>VLOOKUP(A388,'Fox1'!A:F,2,FALSE)</f>
        <v>4</v>
      </c>
      <c r="C388" t="str">
        <f>VLOOKUP(A388,'Fox1'!A:E,5,FALSE)</f>
        <v>Harden</v>
      </c>
      <c r="D388" t="str">
        <f>VLOOKUP(A388,'Fox1'!A:F,6,FALSE)</f>
        <v>Reduce weapon sway when damaged by 60%</v>
      </c>
      <c r="E388">
        <f t="shared" si="12"/>
        <v>5</v>
      </c>
      <c r="F388">
        <f t="shared" si="13"/>
        <v>501</v>
      </c>
      <c r="G388" t="str">
        <f>VLOOKUP(E388,DATA!A:C,3,FALSE)</f>
        <v>Perk</v>
      </c>
      <c r="H388" t="str">
        <f>VLOOKUP(MID(A388,LEN(A388)-2,1)*1,DATA!G:H,2,FALSE)</f>
        <v>PVP</v>
      </c>
      <c r="I388" t="str">
        <f>VLOOKUP(F388,DATA!B:D,3,FALSE)</f>
        <v>类型1</v>
      </c>
    </row>
    <row r="389" spans="1:9" x14ac:dyDescent="0.15">
      <c r="A389">
        <v>50102004</v>
      </c>
      <c r="B389">
        <f>VLOOKUP(A389,'Fox1'!A:F,2,FALSE)</f>
        <v>5</v>
      </c>
      <c r="C389" t="str">
        <f>VLOOKUP(A389,'Fox1'!A:E,5,FALSE)</f>
        <v>Harden</v>
      </c>
      <c r="D389" t="str">
        <f>VLOOKUP(A389,'Fox1'!A:F,6,FALSE)</f>
        <v>Reduce weapon sway when damaged by 70%</v>
      </c>
      <c r="E389">
        <f t="shared" si="12"/>
        <v>5</v>
      </c>
      <c r="F389">
        <f t="shared" si="13"/>
        <v>501</v>
      </c>
      <c r="G389" t="str">
        <f>VLOOKUP(E389,DATA!A:C,3,FALSE)</f>
        <v>Perk</v>
      </c>
      <c r="H389" t="str">
        <f>VLOOKUP(MID(A389,LEN(A389)-2,1)*1,DATA!G:H,2,FALSE)</f>
        <v>PVP</v>
      </c>
      <c r="I389" t="str">
        <f>VLOOKUP(F389,DATA!B:D,3,FALSE)</f>
        <v>类型1</v>
      </c>
    </row>
    <row r="390" spans="1:9" x14ac:dyDescent="0.15">
      <c r="A390">
        <v>50103003</v>
      </c>
      <c r="B390">
        <f>VLOOKUP(A390,'Fox1'!A:F,2,FALSE)</f>
        <v>4</v>
      </c>
      <c r="C390" t="str">
        <f>VLOOKUP(A390,'Fox1'!A:E,5,FALSE)</f>
        <v>Heads Up</v>
      </c>
      <c r="D390" t="str">
        <f>VLOOKUP(A390,'Fox1'!A:F,6,FALSE)</f>
        <v>Extra 50 point bonus for headshot</v>
      </c>
      <c r="E390">
        <f t="shared" si="12"/>
        <v>5</v>
      </c>
      <c r="F390">
        <f t="shared" si="13"/>
        <v>501</v>
      </c>
      <c r="G390" t="str">
        <f>VLOOKUP(E390,DATA!A:C,3,FALSE)</f>
        <v>Perk</v>
      </c>
      <c r="H390" t="str">
        <f>VLOOKUP(MID(A390,LEN(A390)-2,1)*1,DATA!G:H,2,FALSE)</f>
        <v>PVP</v>
      </c>
      <c r="I390" t="str">
        <f>VLOOKUP(F390,DATA!B:D,3,FALSE)</f>
        <v>类型1</v>
      </c>
    </row>
    <row r="391" spans="1:9" x14ac:dyDescent="0.15">
      <c r="A391">
        <v>50103004</v>
      </c>
      <c r="B391">
        <f>VLOOKUP(A391,'Fox1'!A:F,2,FALSE)</f>
        <v>5</v>
      </c>
      <c r="C391" t="str">
        <f>VLOOKUP(A391,'Fox1'!A:E,5,FALSE)</f>
        <v>Heads Up</v>
      </c>
      <c r="D391" t="str">
        <f>VLOOKUP(A391,'Fox1'!A:F,6,FALSE)</f>
        <v>Extra 75 point bonus for headshot</v>
      </c>
      <c r="E391">
        <f t="shared" si="12"/>
        <v>5</v>
      </c>
      <c r="F391">
        <f t="shared" si="13"/>
        <v>501</v>
      </c>
      <c r="G391" t="str">
        <f>VLOOKUP(E391,DATA!A:C,3,FALSE)</f>
        <v>Perk</v>
      </c>
      <c r="H391" t="str">
        <f>VLOOKUP(MID(A391,LEN(A391)-2,1)*1,DATA!G:H,2,FALSE)</f>
        <v>PVP</v>
      </c>
      <c r="I391" t="str">
        <f>VLOOKUP(F391,DATA!B:D,3,FALSE)</f>
        <v>类型1</v>
      </c>
    </row>
    <row r="392" spans="1:9" x14ac:dyDescent="0.15">
      <c r="A392">
        <v>50104000</v>
      </c>
      <c r="B392">
        <f>VLOOKUP(A392,'Fox1'!A:F,2,FALSE)</f>
        <v>1</v>
      </c>
      <c r="C392" t="str">
        <f>VLOOKUP(A392,'Fox1'!A:E,5,FALSE)</f>
        <v>Arm Master</v>
      </c>
      <c r="D392" t="str">
        <f>VLOOKUP(A392,'Fox1'!A:F,6,FALSE)</f>
        <v>Carry extra ammo by 25%</v>
      </c>
      <c r="E392">
        <f t="shared" si="12"/>
        <v>5</v>
      </c>
      <c r="F392">
        <f t="shared" si="13"/>
        <v>501</v>
      </c>
      <c r="G392" t="str">
        <f>VLOOKUP(E392,DATA!A:C,3,FALSE)</f>
        <v>Perk</v>
      </c>
      <c r="H392" t="str">
        <f>VLOOKUP(MID(A392,LEN(A392)-2,1)*1,DATA!G:H,2,FALSE)</f>
        <v>PVP</v>
      </c>
      <c r="I392" t="str">
        <f>VLOOKUP(F392,DATA!B:D,3,FALSE)</f>
        <v>类型1</v>
      </c>
    </row>
    <row r="393" spans="1:9" x14ac:dyDescent="0.15">
      <c r="A393">
        <v>50104001</v>
      </c>
      <c r="B393">
        <f>VLOOKUP(A393,'Fox1'!A:F,2,FALSE)</f>
        <v>2</v>
      </c>
      <c r="C393" t="str">
        <f>VLOOKUP(A393,'Fox1'!A:E,5,FALSE)</f>
        <v>Arm Master</v>
      </c>
      <c r="D393" t="str">
        <f>VLOOKUP(A393,'Fox1'!A:F,6,FALSE)</f>
        <v>Carry extra ammo by 37%</v>
      </c>
      <c r="E393">
        <f t="shared" si="12"/>
        <v>5</v>
      </c>
      <c r="F393">
        <f t="shared" si="13"/>
        <v>501</v>
      </c>
      <c r="G393" t="str">
        <f>VLOOKUP(E393,DATA!A:C,3,FALSE)</f>
        <v>Perk</v>
      </c>
      <c r="H393" t="str">
        <f>VLOOKUP(MID(A393,LEN(A393)-2,1)*1,DATA!G:H,2,FALSE)</f>
        <v>PVP</v>
      </c>
      <c r="I393" t="str">
        <f>VLOOKUP(F393,DATA!B:D,3,FALSE)</f>
        <v>类型1</v>
      </c>
    </row>
    <row r="394" spans="1:9" x14ac:dyDescent="0.15">
      <c r="A394">
        <v>50104002</v>
      </c>
      <c r="B394">
        <f>VLOOKUP(A394,'Fox1'!A:F,2,FALSE)</f>
        <v>1</v>
      </c>
      <c r="C394" t="str">
        <f>VLOOKUP(A394,'Fox1'!A:E,5,FALSE)</f>
        <v>Arm Master</v>
      </c>
      <c r="D394" t="str">
        <f>VLOOKUP(A394,'Fox1'!A:F,6,FALSE)</f>
        <v>Carry extra ammo by 50%</v>
      </c>
      <c r="E394">
        <f t="shared" si="12"/>
        <v>5</v>
      </c>
      <c r="F394">
        <f t="shared" si="13"/>
        <v>501</v>
      </c>
      <c r="G394" t="str">
        <f>VLOOKUP(E394,DATA!A:C,3,FALSE)</f>
        <v>Perk</v>
      </c>
      <c r="H394" t="str">
        <f>VLOOKUP(MID(A394,LEN(A394)-2,1)*1,DATA!G:H,2,FALSE)</f>
        <v>PVP</v>
      </c>
      <c r="I394" t="str">
        <f>VLOOKUP(F394,DATA!B:D,3,FALSE)</f>
        <v>类型1</v>
      </c>
    </row>
    <row r="395" spans="1:9" x14ac:dyDescent="0.15">
      <c r="A395">
        <v>50104003</v>
      </c>
      <c r="B395">
        <f>VLOOKUP(A395,'Fox1'!A:F,2,FALSE)</f>
        <v>4</v>
      </c>
      <c r="C395" t="str">
        <f>VLOOKUP(A395,'Fox1'!A:E,5,FALSE)</f>
        <v>Arm Master</v>
      </c>
      <c r="D395" t="str">
        <f>VLOOKUP(A395,'Fox1'!A:F,6,FALSE)</f>
        <v>Carry extra ammo by 62%</v>
      </c>
      <c r="E395">
        <f t="shared" si="12"/>
        <v>5</v>
      </c>
      <c r="F395">
        <f t="shared" si="13"/>
        <v>501</v>
      </c>
      <c r="G395" t="str">
        <f>VLOOKUP(E395,DATA!A:C,3,FALSE)</f>
        <v>Perk</v>
      </c>
      <c r="H395" t="str">
        <f>VLOOKUP(MID(A395,LEN(A395)-2,1)*1,DATA!G:H,2,FALSE)</f>
        <v>PVP</v>
      </c>
      <c r="I395" t="str">
        <f>VLOOKUP(F395,DATA!B:D,3,FALSE)</f>
        <v>类型1</v>
      </c>
    </row>
    <row r="396" spans="1:9" x14ac:dyDescent="0.15">
      <c r="A396">
        <v>50104004</v>
      </c>
      <c r="B396">
        <f>VLOOKUP(A396,'Fox1'!A:F,2,FALSE)</f>
        <v>5</v>
      </c>
      <c r="C396" t="str">
        <f>VLOOKUP(A396,'Fox1'!A:E,5,FALSE)</f>
        <v>Arm Master</v>
      </c>
      <c r="D396" t="str">
        <f>VLOOKUP(A396,'Fox1'!A:F,6,FALSE)</f>
        <v>Carry extra ammo by 75%</v>
      </c>
      <c r="E396">
        <f t="shared" si="12"/>
        <v>5</v>
      </c>
      <c r="F396">
        <f t="shared" si="13"/>
        <v>501</v>
      </c>
      <c r="G396" t="str">
        <f>VLOOKUP(E396,DATA!A:C,3,FALSE)</f>
        <v>Perk</v>
      </c>
      <c r="H396" t="str">
        <f>VLOOKUP(MID(A396,LEN(A396)-2,1)*1,DATA!G:H,2,FALSE)</f>
        <v>PVP</v>
      </c>
      <c r="I396" t="str">
        <f>VLOOKUP(F396,DATA!B:D,3,FALSE)</f>
        <v>类型1</v>
      </c>
    </row>
    <row r="397" spans="1:9" x14ac:dyDescent="0.15">
      <c r="A397">
        <v>50105002</v>
      </c>
      <c r="B397">
        <f>VLOOKUP(A397,'Fox1'!A:F,2,FALSE)</f>
        <v>1</v>
      </c>
      <c r="C397" t="str">
        <f>VLOOKUP(A397,'Fox1'!A:E,5,FALSE)</f>
        <v>Scavenger</v>
      </c>
      <c r="D397" t="str">
        <f>VLOOKUP(A397,'Fox1'!A:F,6,FALSE)</f>
        <v xml:space="preserve">Able to recover ammo every 6 second while not in combat. </v>
      </c>
      <c r="E397">
        <f t="shared" si="12"/>
        <v>5</v>
      </c>
      <c r="F397">
        <f t="shared" si="13"/>
        <v>501</v>
      </c>
      <c r="G397" t="str">
        <f>VLOOKUP(E397,DATA!A:C,3,FALSE)</f>
        <v>Perk</v>
      </c>
      <c r="H397" t="str">
        <f>VLOOKUP(MID(A397,LEN(A397)-2,1)*1,DATA!G:H,2,FALSE)</f>
        <v>PVP</v>
      </c>
      <c r="I397" t="str">
        <f>VLOOKUP(F397,DATA!B:D,3,FALSE)</f>
        <v>类型1</v>
      </c>
    </row>
    <row r="398" spans="1:9" x14ac:dyDescent="0.15">
      <c r="A398">
        <v>50105003</v>
      </c>
      <c r="B398">
        <f>VLOOKUP(A398,'Fox1'!A:F,2,FALSE)</f>
        <v>4</v>
      </c>
      <c r="C398" t="str">
        <f>VLOOKUP(A398,'Fox1'!A:E,5,FALSE)</f>
        <v>Scavenger</v>
      </c>
      <c r="D398" t="str">
        <f>VLOOKUP(A398,'Fox1'!A:F,6,FALSE)</f>
        <v xml:space="preserve">Able to recover ammo every 5 second while not in combat. </v>
      </c>
      <c r="E398">
        <f t="shared" si="12"/>
        <v>5</v>
      </c>
      <c r="F398">
        <f t="shared" si="13"/>
        <v>501</v>
      </c>
      <c r="G398" t="str">
        <f>VLOOKUP(E398,DATA!A:C,3,FALSE)</f>
        <v>Perk</v>
      </c>
      <c r="H398" t="str">
        <f>VLOOKUP(MID(A398,LEN(A398)-2,1)*1,DATA!G:H,2,FALSE)</f>
        <v>PVP</v>
      </c>
      <c r="I398" t="str">
        <f>VLOOKUP(F398,DATA!B:D,3,FALSE)</f>
        <v>类型1</v>
      </c>
    </row>
    <row r="399" spans="1:9" x14ac:dyDescent="0.15">
      <c r="A399">
        <v>50105004</v>
      </c>
      <c r="B399">
        <f>VLOOKUP(A399,'Fox1'!A:F,2,FALSE)</f>
        <v>5</v>
      </c>
      <c r="C399" t="str">
        <f>VLOOKUP(A399,'Fox1'!A:E,5,FALSE)</f>
        <v>Scavenger</v>
      </c>
      <c r="D399" t="str">
        <f>VLOOKUP(A399,'Fox1'!A:F,6,FALSE)</f>
        <v xml:space="preserve">Able to recover ammo every 4 second while not in combat. </v>
      </c>
      <c r="E399">
        <f t="shared" si="12"/>
        <v>5</v>
      </c>
      <c r="F399">
        <f t="shared" si="13"/>
        <v>501</v>
      </c>
      <c r="G399" t="str">
        <f>VLOOKUP(E399,DATA!A:C,3,FALSE)</f>
        <v>Perk</v>
      </c>
      <c r="H399" t="str">
        <f>VLOOKUP(MID(A399,LEN(A399)-2,1)*1,DATA!G:H,2,FALSE)</f>
        <v>PVP</v>
      </c>
      <c r="I399" t="str">
        <f>VLOOKUP(F399,DATA!B:D,3,FALSE)</f>
        <v>类型1</v>
      </c>
    </row>
    <row r="400" spans="1:9" x14ac:dyDescent="0.15">
      <c r="A400">
        <v>50106003</v>
      </c>
      <c r="B400">
        <f>VLOOKUP(A400,'Fox1'!A:F,2,FALSE)</f>
        <v>1</v>
      </c>
      <c r="C400" t="str">
        <f>VLOOKUP(A400,'Fox1'!A:E,5,FALSE)</f>
        <v>Tracker</v>
      </c>
      <c r="D400" t="str">
        <f>VLOOKUP(A400,'Fox1'!A:F,6,FALSE)</f>
        <v>Able to see enemy's footprint 4 second</v>
      </c>
      <c r="E400">
        <f t="shared" si="12"/>
        <v>5</v>
      </c>
      <c r="F400">
        <f t="shared" si="13"/>
        <v>501</v>
      </c>
      <c r="G400" t="str">
        <f>VLOOKUP(E400,DATA!A:C,3,FALSE)</f>
        <v>Perk</v>
      </c>
      <c r="H400" t="str">
        <f>VLOOKUP(MID(A400,LEN(A400)-2,1)*1,DATA!G:H,2,FALSE)</f>
        <v>PVP</v>
      </c>
      <c r="I400" t="str">
        <f>VLOOKUP(F400,DATA!B:D,3,FALSE)</f>
        <v>类型1</v>
      </c>
    </row>
    <row r="401" spans="1:9" x14ac:dyDescent="0.15">
      <c r="A401">
        <v>50106004</v>
      </c>
      <c r="B401">
        <f>VLOOKUP(A401,'Fox1'!A:F,2,FALSE)</f>
        <v>4</v>
      </c>
      <c r="C401" t="str">
        <f>VLOOKUP(A401,'Fox1'!A:E,5,FALSE)</f>
        <v>Tracker</v>
      </c>
      <c r="D401" t="str">
        <f>VLOOKUP(A401,'Fox1'!A:F,6,FALSE)</f>
        <v>Able to see enemy's footprint 5 second</v>
      </c>
      <c r="E401">
        <f t="shared" si="12"/>
        <v>5</v>
      </c>
      <c r="F401">
        <f t="shared" si="13"/>
        <v>501</v>
      </c>
      <c r="G401" t="str">
        <f>VLOOKUP(E401,DATA!A:C,3,FALSE)</f>
        <v>Perk</v>
      </c>
      <c r="H401" t="str">
        <f>VLOOKUP(MID(A401,LEN(A401)-2,1)*1,DATA!G:H,2,FALSE)</f>
        <v>PVP</v>
      </c>
      <c r="I401" t="str">
        <f>VLOOKUP(F401,DATA!B:D,3,FALSE)</f>
        <v>类型1</v>
      </c>
    </row>
    <row r="402" spans="1:9" x14ac:dyDescent="0.15">
      <c r="A402">
        <v>50107000</v>
      </c>
      <c r="B402">
        <f>VLOOKUP(A402,'Fox1'!A:F,2,FALSE)</f>
        <v>1</v>
      </c>
      <c r="C402" t="str">
        <f>VLOOKUP(A402,'Fox1'!A:E,5,FALSE)</f>
        <v>Vulture</v>
      </c>
      <c r="D402" t="str">
        <f>VLOOKUP(A402,'Fox1'!A:F,6,FALSE)</f>
        <v>Collect 50% clip ammo from dead body.</v>
      </c>
      <c r="E402">
        <f t="shared" si="12"/>
        <v>5</v>
      </c>
      <c r="F402">
        <f t="shared" si="13"/>
        <v>501</v>
      </c>
      <c r="G402" t="str">
        <f>VLOOKUP(E402,DATA!A:C,3,FALSE)</f>
        <v>Perk</v>
      </c>
      <c r="H402" t="str">
        <f>VLOOKUP(MID(A402,LEN(A402)-2,1)*1,DATA!G:H,2,FALSE)</f>
        <v>PVP</v>
      </c>
      <c r="I402" t="str">
        <f>VLOOKUP(F402,DATA!B:D,3,FALSE)</f>
        <v>类型1</v>
      </c>
    </row>
    <row r="403" spans="1:9" x14ac:dyDescent="0.15">
      <c r="A403">
        <v>50107001</v>
      </c>
      <c r="B403">
        <f>VLOOKUP(A403,'Fox1'!A:F,2,FALSE)</f>
        <v>2</v>
      </c>
      <c r="C403" t="str">
        <f>VLOOKUP(A403,'Fox1'!A:E,5,FALSE)</f>
        <v>Vulture</v>
      </c>
      <c r="D403" t="str">
        <f>VLOOKUP(A403,'Fox1'!A:F,6,FALSE)</f>
        <v>Collect 60% clip ammo from dead body.</v>
      </c>
      <c r="E403">
        <f t="shared" si="12"/>
        <v>5</v>
      </c>
      <c r="F403">
        <f t="shared" si="13"/>
        <v>501</v>
      </c>
      <c r="G403" t="str">
        <f>VLOOKUP(E403,DATA!A:C,3,FALSE)</f>
        <v>Perk</v>
      </c>
      <c r="H403" t="str">
        <f>VLOOKUP(MID(A403,LEN(A403)-2,1)*1,DATA!G:H,2,FALSE)</f>
        <v>PVP</v>
      </c>
      <c r="I403" t="str">
        <f>VLOOKUP(F403,DATA!B:D,3,FALSE)</f>
        <v>类型1</v>
      </c>
    </row>
    <row r="404" spans="1:9" x14ac:dyDescent="0.15">
      <c r="A404">
        <v>50107002</v>
      </c>
      <c r="B404">
        <f>VLOOKUP(A404,'Fox1'!A:F,2,FALSE)</f>
        <v>1</v>
      </c>
      <c r="C404" t="str">
        <f>VLOOKUP(A404,'Fox1'!A:E,5,FALSE)</f>
        <v>Vulture</v>
      </c>
      <c r="D404" t="str">
        <f>VLOOKUP(A404,'Fox1'!A:F,6,FALSE)</f>
        <v>Collect 70% clip ammo from dead body.</v>
      </c>
      <c r="E404">
        <f t="shared" si="12"/>
        <v>5</v>
      </c>
      <c r="F404">
        <f t="shared" si="13"/>
        <v>501</v>
      </c>
      <c r="G404" t="str">
        <f>VLOOKUP(E404,DATA!A:C,3,FALSE)</f>
        <v>Perk</v>
      </c>
      <c r="H404" t="str">
        <f>VLOOKUP(MID(A404,LEN(A404)-2,1)*1,DATA!G:H,2,FALSE)</f>
        <v>PVP</v>
      </c>
      <c r="I404" t="str">
        <f>VLOOKUP(F404,DATA!B:D,3,FALSE)</f>
        <v>类型1</v>
      </c>
    </row>
    <row r="405" spans="1:9" x14ac:dyDescent="0.15">
      <c r="A405">
        <v>50107003</v>
      </c>
      <c r="B405">
        <f>VLOOKUP(A405,'Fox1'!A:F,2,FALSE)</f>
        <v>4</v>
      </c>
      <c r="C405" t="str">
        <f>VLOOKUP(A405,'Fox1'!A:E,5,FALSE)</f>
        <v>Vulture</v>
      </c>
      <c r="D405" t="str">
        <f>VLOOKUP(A405,'Fox1'!A:F,6,FALSE)</f>
        <v>Collect 80% clip ammo from dead body.</v>
      </c>
      <c r="E405">
        <f t="shared" si="12"/>
        <v>5</v>
      </c>
      <c r="F405">
        <f t="shared" si="13"/>
        <v>501</v>
      </c>
      <c r="G405" t="str">
        <f>VLOOKUP(E405,DATA!A:C,3,FALSE)</f>
        <v>Perk</v>
      </c>
      <c r="H405" t="str">
        <f>VLOOKUP(MID(A405,LEN(A405)-2,1)*1,DATA!G:H,2,FALSE)</f>
        <v>PVP</v>
      </c>
      <c r="I405" t="str">
        <f>VLOOKUP(F405,DATA!B:D,3,FALSE)</f>
        <v>类型1</v>
      </c>
    </row>
    <row r="406" spans="1:9" x14ac:dyDescent="0.15">
      <c r="A406">
        <v>50107004</v>
      </c>
      <c r="B406">
        <f>VLOOKUP(A406,'Fox1'!A:F,2,FALSE)</f>
        <v>5</v>
      </c>
      <c r="C406" t="str">
        <f>VLOOKUP(A406,'Fox1'!A:E,5,FALSE)</f>
        <v>Vulture</v>
      </c>
      <c r="D406" t="str">
        <f>VLOOKUP(A406,'Fox1'!A:F,6,FALSE)</f>
        <v>Collect 100% clip ammo from dead body.</v>
      </c>
      <c r="E406">
        <f t="shared" si="12"/>
        <v>5</v>
      </c>
      <c r="F406">
        <f t="shared" si="13"/>
        <v>501</v>
      </c>
      <c r="G406" t="str">
        <f>VLOOKUP(E406,DATA!A:C,3,FALSE)</f>
        <v>Perk</v>
      </c>
      <c r="H406" t="str">
        <f>VLOOKUP(MID(A406,LEN(A406)-2,1)*1,DATA!G:H,2,FALSE)</f>
        <v>PVP</v>
      </c>
      <c r="I406" t="str">
        <f>VLOOKUP(F406,DATA!B:D,3,FALSE)</f>
        <v>类型1</v>
      </c>
    </row>
    <row r="407" spans="1:9" x14ac:dyDescent="0.15">
      <c r="A407">
        <v>50108003</v>
      </c>
      <c r="B407">
        <f>VLOOKUP(A407,'Fox1'!A:F,2,FALSE)</f>
        <v>4</v>
      </c>
      <c r="C407" t="str">
        <f>VLOOKUP(A407,'Fox1'!A:E,5,FALSE)</f>
        <v>Hard Wired</v>
      </c>
      <c r="D407" t="str">
        <f>VLOOKUP(A407,'Fox1'!A:F,6,FALSE)</f>
        <v>Immune to EMP、Counter UAV</v>
      </c>
      <c r="E407">
        <f t="shared" si="12"/>
        <v>5</v>
      </c>
      <c r="F407">
        <f t="shared" si="13"/>
        <v>501</v>
      </c>
      <c r="G407" t="str">
        <f>VLOOKUP(E407,DATA!A:C,3,FALSE)</f>
        <v>Perk</v>
      </c>
      <c r="H407" t="str">
        <f>VLOOKUP(MID(A407,LEN(A407)-2,1)*1,DATA!G:H,2,FALSE)</f>
        <v>PVP</v>
      </c>
      <c r="I407" t="str">
        <f>VLOOKUP(F407,DATA!B:D,3,FALSE)</f>
        <v>类型1</v>
      </c>
    </row>
    <row r="408" spans="1:9" x14ac:dyDescent="0.15">
      <c r="A408">
        <v>50108004</v>
      </c>
      <c r="B408">
        <f>VLOOKUP(A408,'Fox1'!A:F,2,FALSE)</f>
        <v>5</v>
      </c>
      <c r="C408" t="str">
        <f>VLOOKUP(A408,'Fox1'!A:E,5,FALSE)</f>
        <v>Hard Wired</v>
      </c>
      <c r="D408" t="str">
        <f>VLOOKUP(A408,'Fox1'!A:F,6,FALSE)</f>
        <v>Immune to EMP、Counter UAV</v>
      </c>
      <c r="E408">
        <f t="shared" si="12"/>
        <v>5</v>
      </c>
      <c r="F408">
        <f t="shared" si="13"/>
        <v>501</v>
      </c>
      <c r="G408" t="str">
        <f>VLOOKUP(E408,DATA!A:C,3,FALSE)</f>
        <v>Perk</v>
      </c>
      <c r="H408" t="str">
        <f>VLOOKUP(MID(A408,LEN(A408)-2,1)*1,DATA!G:H,2,FALSE)</f>
        <v>PVP</v>
      </c>
      <c r="I408" t="str">
        <f>VLOOKUP(F408,DATA!B:D,3,FALSE)</f>
        <v>类型1</v>
      </c>
    </row>
    <row r="409" spans="1:9" x14ac:dyDescent="0.15">
      <c r="A409">
        <v>50109002</v>
      </c>
      <c r="B409">
        <f>VLOOKUP(A409,'Fox1'!A:F,2,FALSE)</f>
        <v>1</v>
      </c>
      <c r="C409" t="str">
        <f>VLOOKUP(A409,'Fox1'!A:E,5,FALSE)</f>
        <v>Six Senses</v>
      </c>
      <c r="D409" t="str">
        <f>VLOOKUP(A409,'Fox1'!A:F,6,FALSE)</f>
        <v xml:space="preserve">increase hearing radius. </v>
      </c>
      <c r="E409">
        <f t="shared" si="12"/>
        <v>5</v>
      </c>
      <c r="F409">
        <f t="shared" si="13"/>
        <v>501</v>
      </c>
      <c r="G409" t="str">
        <f>VLOOKUP(E409,DATA!A:C,3,FALSE)</f>
        <v>Perk</v>
      </c>
      <c r="H409" t="str">
        <f>VLOOKUP(MID(A409,LEN(A409)-2,1)*1,DATA!G:H,2,FALSE)</f>
        <v>PVP</v>
      </c>
      <c r="I409" t="str">
        <f>VLOOKUP(F409,DATA!B:D,3,FALSE)</f>
        <v>类型1</v>
      </c>
    </row>
    <row r="410" spans="1:9" x14ac:dyDescent="0.15">
      <c r="A410">
        <v>50109003</v>
      </c>
      <c r="B410">
        <f>VLOOKUP(A410,'Fox1'!A:F,2,FALSE)</f>
        <v>4</v>
      </c>
      <c r="C410" t="str">
        <f>VLOOKUP(A410,'Fox1'!A:E,5,FALSE)</f>
        <v>Six Senses</v>
      </c>
      <c r="D410" t="str">
        <f>VLOOKUP(A410,'Fox1'!A:F,6,FALSE)</f>
        <v>increase hearing radius,nearly enemy show the minimap 1.5 second later</v>
      </c>
      <c r="E410">
        <f t="shared" si="12"/>
        <v>5</v>
      </c>
      <c r="F410">
        <f t="shared" si="13"/>
        <v>501</v>
      </c>
      <c r="G410" t="str">
        <f>VLOOKUP(E410,DATA!A:C,3,FALSE)</f>
        <v>Perk</v>
      </c>
      <c r="H410" t="str">
        <f>VLOOKUP(MID(A410,LEN(A410)-2,1)*1,DATA!G:H,2,FALSE)</f>
        <v>PVP</v>
      </c>
      <c r="I410" t="str">
        <f>VLOOKUP(F410,DATA!B:D,3,FALSE)</f>
        <v>类型1</v>
      </c>
    </row>
    <row r="411" spans="1:9" x14ac:dyDescent="0.15">
      <c r="A411">
        <v>50109004</v>
      </c>
      <c r="B411">
        <f>VLOOKUP(A411,'Fox1'!A:F,2,FALSE)</f>
        <v>5</v>
      </c>
      <c r="C411" t="str">
        <f>VLOOKUP(A411,'Fox1'!A:E,5,FALSE)</f>
        <v>Six Senses</v>
      </c>
      <c r="D411" t="str">
        <f>VLOOKUP(A411,'Fox1'!A:F,6,FALSE)</f>
        <v>increase hearing radius,nearly enemy show the minimap 1 second later</v>
      </c>
      <c r="E411">
        <f t="shared" si="12"/>
        <v>5</v>
      </c>
      <c r="F411">
        <f t="shared" si="13"/>
        <v>501</v>
      </c>
      <c r="G411" t="str">
        <f>VLOOKUP(E411,DATA!A:C,3,FALSE)</f>
        <v>Perk</v>
      </c>
      <c r="H411" t="str">
        <f>VLOOKUP(MID(A411,LEN(A411)-2,1)*1,DATA!G:H,2,FALSE)</f>
        <v>PVP</v>
      </c>
      <c r="I411" t="str">
        <f>VLOOKUP(F411,DATA!B:D,3,FALSE)</f>
        <v>类型1</v>
      </c>
    </row>
    <row r="412" spans="1:9" x14ac:dyDescent="0.15">
      <c r="A412">
        <v>50110000</v>
      </c>
      <c r="B412">
        <f>VLOOKUP(A412,'Fox1'!A:F,2,FALSE)</f>
        <v>1</v>
      </c>
      <c r="C412" t="str">
        <f>VLOOKUP(A412,'Fox1'!A:E,5,FALSE)</f>
        <v>Active Sonar</v>
      </c>
      <c r="D412" t="str">
        <f>VLOOKUP(A412,'Fox1'!A:F,6,FALSE)</f>
        <v>On kill or assist will trigger an sonar scan around 5 meter the dead enemy.</v>
      </c>
      <c r="E412">
        <f t="shared" si="12"/>
        <v>5</v>
      </c>
      <c r="F412">
        <f t="shared" si="13"/>
        <v>501</v>
      </c>
      <c r="G412" t="str">
        <f>VLOOKUP(E412,DATA!A:C,3,FALSE)</f>
        <v>Perk</v>
      </c>
      <c r="H412" t="str">
        <f>VLOOKUP(MID(A412,LEN(A412)-2,1)*1,DATA!G:H,2,FALSE)</f>
        <v>PVP</v>
      </c>
      <c r="I412" t="str">
        <f>VLOOKUP(F412,DATA!B:D,3,FALSE)</f>
        <v>类型1</v>
      </c>
    </row>
    <row r="413" spans="1:9" x14ac:dyDescent="0.15">
      <c r="A413">
        <v>50110001</v>
      </c>
      <c r="B413">
        <f>VLOOKUP(A413,'Fox1'!A:F,2,FALSE)</f>
        <v>2</v>
      </c>
      <c r="C413" t="str">
        <f>VLOOKUP(A413,'Fox1'!A:E,5,FALSE)</f>
        <v>Active Sonar</v>
      </c>
      <c r="D413" t="str">
        <f>VLOOKUP(A413,'Fox1'!A:F,6,FALSE)</f>
        <v>On kill or assist will trigger an sonar scan around 6 meter the dead enemy.</v>
      </c>
      <c r="E413">
        <f t="shared" si="12"/>
        <v>5</v>
      </c>
      <c r="F413">
        <f t="shared" si="13"/>
        <v>501</v>
      </c>
      <c r="G413" t="str">
        <f>VLOOKUP(E413,DATA!A:C,3,FALSE)</f>
        <v>Perk</v>
      </c>
      <c r="H413" t="str">
        <f>VLOOKUP(MID(A413,LEN(A413)-2,1)*1,DATA!G:H,2,FALSE)</f>
        <v>PVP</v>
      </c>
      <c r="I413" t="str">
        <f>VLOOKUP(F413,DATA!B:D,3,FALSE)</f>
        <v>类型1</v>
      </c>
    </row>
    <row r="414" spans="1:9" x14ac:dyDescent="0.15">
      <c r="A414">
        <v>50110002</v>
      </c>
      <c r="B414">
        <f>VLOOKUP(A414,'Fox1'!A:F,2,FALSE)</f>
        <v>1</v>
      </c>
      <c r="C414" t="str">
        <f>VLOOKUP(A414,'Fox1'!A:E,5,FALSE)</f>
        <v>Active Sonar</v>
      </c>
      <c r="D414" t="str">
        <f>VLOOKUP(A414,'Fox1'!A:F,6,FALSE)</f>
        <v>On kill or assist will trigger an sonar scan around 7 meter the dead enemy.</v>
      </c>
      <c r="E414">
        <f t="shared" si="12"/>
        <v>5</v>
      </c>
      <c r="F414">
        <f t="shared" si="13"/>
        <v>501</v>
      </c>
      <c r="G414" t="str">
        <f>VLOOKUP(E414,DATA!A:C,3,FALSE)</f>
        <v>Perk</v>
      </c>
      <c r="H414" t="str">
        <f>VLOOKUP(MID(A414,LEN(A414)-2,1)*1,DATA!G:H,2,FALSE)</f>
        <v>PVP</v>
      </c>
      <c r="I414" t="str">
        <f>VLOOKUP(F414,DATA!B:D,3,FALSE)</f>
        <v>类型1</v>
      </c>
    </row>
    <row r="415" spans="1:9" x14ac:dyDescent="0.15">
      <c r="A415">
        <v>50110003</v>
      </c>
      <c r="B415">
        <f>VLOOKUP(A415,'Fox1'!A:F,2,FALSE)</f>
        <v>4</v>
      </c>
      <c r="C415" t="str">
        <f>VLOOKUP(A415,'Fox1'!A:E,5,FALSE)</f>
        <v>Active Sonar</v>
      </c>
      <c r="D415" t="str">
        <f>VLOOKUP(A415,'Fox1'!A:F,6,FALSE)</f>
        <v>On kill or assist will trigger an sonar scan around 8 meter the dead enemy.</v>
      </c>
      <c r="E415">
        <f t="shared" si="12"/>
        <v>5</v>
      </c>
      <c r="F415">
        <f t="shared" si="13"/>
        <v>501</v>
      </c>
      <c r="G415" t="str">
        <f>VLOOKUP(E415,DATA!A:C,3,FALSE)</f>
        <v>Perk</v>
      </c>
      <c r="H415" t="str">
        <f>VLOOKUP(MID(A415,LEN(A415)-2,1)*1,DATA!G:H,2,FALSE)</f>
        <v>PVP</v>
      </c>
      <c r="I415" t="str">
        <f>VLOOKUP(F415,DATA!B:D,3,FALSE)</f>
        <v>类型1</v>
      </c>
    </row>
    <row r="416" spans="1:9" x14ac:dyDescent="0.15">
      <c r="A416">
        <v>50110004</v>
      </c>
      <c r="B416">
        <f>VLOOKUP(A416,'Fox1'!A:F,2,FALSE)</f>
        <v>5</v>
      </c>
      <c r="C416" t="str">
        <f>VLOOKUP(A416,'Fox1'!A:E,5,FALSE)</f>
        <v>Active Sonar</v>
      </c>
      <c r="D416" t="str">
        <f>VLOOKUP(A416,'Fox1'!A:F,6,FALSE)</f>
        <v>On kill or assist will trigger an sonar scan around 9 meter the dead enemy.</v>
      </c>
      <c r="E416">
        <f t="shared" si="12"/>
        <v>5</v>
      </c>
      <c r="F416">
        <f t="shared" si="13"/>
        <v>501</v>
      </c>
      <c r="G416" t="str">
        <f>VLOOKUP(E416,DATA!A:C,3,FALSE)</f>
        <v>Perk</v>
      </c>
      <c r="H416" t="str">
        <f>VLOOKUP(MID(A416,LEN(A416)-2,1)*1,DATA!G:H,2,FALSE)</f>
        <v>PVP</v>
      </c>
      <c r="I416" t="str">
        <f>VLOOKUP(F416,DATA!B:D,3,FALSE)</f>
        <v>类型1</v>
      </c>
    </row>
    <row r="417" spans="1:9" x14ac:dyDescent="0.15">
      <c r="A417">
        <v>50201002</v>
      </c>
      <c r="B417">
        <f>VLOOKUP(A417,'Fox1'!A:F,2,FALSE)</f>
        <v>1</v>
      </c>
      <c r="C417" t="str">
        <f>VLOOKUP(A417,'Fox1'!A:E,5,FALSE)</f>
        <v>Ghost</v>
      </c>
      <c r="D417" t="str">
        <f>VLOOKUP(A417,'Fox1'!A:F,6,FALSE)</f>
        <v>Unable to detect by certain tactical equipment or UAV</v>
      </c>
      <c r="E417">
        <f t="shared" si="12"/>
        <v>5</v>
      </c>
      <c r="F417">
        <f t="shared" si="13"/>
        <v>502</v>
      </c>
      <c r="G417" t="str">
        <f>VLOOKUP(E417,DATA!A:C,3,FALSE)</f>
        <v>Perk</v>
      </c>
      <c r="H417" t="str">
        <f>VLOOKUP(MID(A417,LEN(A417)-2,1)*1,DATA!G:H,2,FALSE)</f>
        <v>PVP</v>
      </c>
      <c r="I417" t="str">
        <f>VLOOKUP(F417,DATA!B:D,3,FALSE)</f>
        <v>类型2</v>
      </c>
    </row>
    <row r="418" spans="1:9" x14ac:dyDescent="0.15">
      <c r="A418">
        <v>50201003</v>
      </c>
      <c r="B418">
        <f>VLOOKUP(A418,'Fox1'!A:F,2,FALSE)</f>
        <v>4</v>
      </c>
      <c r="C418" t="str">
        <f>VLOOKUP(A418,'Fox1'!A:E,5,FALSE)</f>
        <v>Ghost</v>
      </c>
      <c r="D418" t="str">
        <f>VLOOKUP(A418,'Fox1'!A:F,6,FALSE)</f>
        <v>Unable to detect by certain tactical equipment,land AI or UAV</v>
      </c>
      <c r="E418">
        <f t="shared" si="12"/>
        <v>5</v>
      </c>
      <c r="F418">
        <f t="shared" si="13"/>
        <v>502</v>
      </c>
      <c r="G418" t="str">
        <f>VLOOKUP(E418,DATA!A:C,3,FALSE)</f>
        <v>Perk</v>
      </c>
      <c r="H418" t="str">
        <f>VLOOKUP(MID(A418,LEN(A418)-2,1)*1,DATA!G:H,2,FALSE)</f>
        <v>PVP</v>
      </c>
      <c r="I418" t="str">
        <f>VLOOKUP(F418,DATA!B:D,3,FALSE)</f>
        <v>类型2</v>
      </c>
    </row>
    <row r="419" spans="1:9" x14ac:dyDescent="0.15">
      <c r="A419">
        <v>50201004</v>
      </c>
      <c r="B419">
        <f>VLOOKUP(A419,'Fox1'!A:F,2,FALSE)</f>
        <v>5</v>
      </c>
      <c r="C419" t="str">
        <f>VLOOKUP(A419,'Fox1'!A:E,5,FALSE)</f>
        <v>Ghost</v>
      </c>
      <c r="D419" t="str">
        <f>VLOOKUP(A419,'Fox1'!A:F,6,FALSE)</f>
        <v>Unable to detect by certain tactical equipment,land AI,air AI or UAV</v>
      </c>
      <c r="E419">
        <f t="shared" si="12"/>
        <v>5</v>
      </c>
      <c r="F419">
        <f t="shared" si="13"/>
        <v>502</v>
      </c>
      <c r="G419" t="str">
        <f>VLOOKUP(E419,DATA!A:C,3,FALSE)</f>
        <v>Perk</v>
      </c>
      <c r="H419" t="str">
        <f>VLOOKUP(MID(A419,LEN(A419)-2,1)*1,DATA!G:H,2,FALSE)</f>
        <v>PVP</v>
      </c>
      <c r="I419" t="str">
        <f>VLOOKUP(F419,DATA!B:D,3,FALSE)</f>
        <v>类型2</v>
      </c>
    </row>
    <row r="420" spans="1:9" x14ac:dyDescent="0.15">
      <c r="A420">
        <v>50202000</v>
      </c>
      <c r="B420">
        <f>VLOOKUP(A420,'Fox1'!A:F,2,FALSE)</f>
        <v>1</v>
      </c>
      <c r="C420" t="str">
        <f>VLOOKUP(A420,'Fox1'!A:E,5,FALSE)</f>
        <v>Lightweight</v>
      </c>
      <c r="D420" t="str">
        <f>VLOOKUP(A420,'Fox1'!A:F,6,FALSE)</f>
        <v>Sprint speed increase by 10%</v>
      </c>
      <c r="E420">
        <f t="shared" si="12"/>
        <v>5</v>
      </c>
      <c r="F420">
        <f t="shared" si="13"/>
        <v>502</v>
      </c>
      <c r="G420" t="str">
        <f>VLOOKUP(E420,DATA!A:C,3,FALSE)</f>
        <v>Perk</v>
      </c>
      <c r="H420" t="str">
        <f>VLOOKUP(MID(A420,LEN(A420)-2,1)*1,DATA!G:H,2,FALSE)</f>
        <v>PVP</v>
      </c>
      <c r="I420" t="str">
        <f>VLOOKUP(F420,DATA!B:D,3,FALSE)</f>
        <v>类型2</v>
      </c>
    </row>
    <row r="421" spans="1:9" x14ac:dyDescent="0.15">
      <c r="A421">
        <v>50202001</v>
      </c>
      <c r="B421">
        <f>VLOOKUP(A421,'Fox1'!A:F,2,FALSE)</f>
        <v>2</v>
      </c>
      <c r="C421" t="str">
        <f>VLOOKUP(A421,'Fox1'!A:E,5,FALSE)</f>
        <v>Lightweight</v>
      </c>
      <c r="D421" t="str">
        <f>VLOOKUP(A421,'Fox1'!A:F,6,FALSE)</f>
        <v>Sprint speed increase by 12%</v>
      </c>
      <c r="E421">
        <f t="shared" si="12"/>
        <v>5</v>
      </c>
      <c r="F421">
        <f t="shared" si="13"/>
        <v>502</v>
      </c>
      <c r="G421" t="str">
        <f>VLOOKUP(E421,DATA!A:C,3,FALSE)</f>
        <v>Perk</v>
      </c>
      <c r="H421" t="str">
        <f>VLOOKUP(MID(A421,LEN(A421)-2,1)*1,DATA!G:H,2,FALSE)</f>
        <v>PVP</v>
      </c>
      <c r="I421" t="str">
        <f>VLOOKUP(F421,DATA!B:D,3,FALSE)</f>
        <v>类型2</v>
      </c>
    </row>
    <row r="422" spans="1:9" x14ac:dyDescent="0.15">
      <c r="A422">
        <v>50202002</v>
      </c>
      <c r="B422">
        <f>VLOOKUP(A422,'Fox1'!A:F,2,FALSE)</f>
        <v>1</v>
      </c>
      <c r="C422" t="str">
        <f>VLOOKUP(A422,'Fox1'!A:E,5,FALSE)</f>
        <v>Lightweight</v>
      </c>
      <c r="D422" t="str">
        <f>VLOOKUP(A422,'Fox1'!A:F,6,FALSE)</f>
        <v>Sprint speed increase by 14%</v>
      </c>
      <c r="E422">
        <f t="shared" si="12"/>
        <v>5</v>
      </c>
      <c r="F422">
        <f t="shared" si="13"/>
        <v>502</v>
      </c>
      <c r="G422" t="str">
        <f>VLOOKUP(E422,DATA!A:C,3,FALSE)</f>
        <v>Perk</v>
      </c>
      <c r="H422" t="str">
        <f>VLOOKUP(MID(A422,LEN(A422)-2,1)*1,DATA!G:H,2,FALSE)</f>
        <v>PVP</v>
      </c>
      <c r="I422" t="str">
        <f>VLOOKUP(F422,DATA!B:D,3,FALSE)</f>
        <v>类型2</v>
      </c>
    </row>
    <row r="423" spans="1:9" x14ac:dyDescent="0.15">
      <c r="A423">
        <v>50202003</v>
      </c>
      <c r="B423">
        <f>VLOOKUP(A423,'Fox1'!A:F,2,FALSE)</f>
        <v>4</v>
      </c>
      <c r="C423" t="str">
        <f>VLOOKUP(A423,'Fox1'!A:E,5,FALSE)</f>
        <v>Lightweight</v>
      </c>
      <c r="D423" t="str">
        <f>VLOOKUP(A423,'Fox1'!A:F,6,FALSE)</f>
        <v>Sprint speed increase by 16%</v>
      </c>
      <c r="E423">
        <f t="shared" si="12"/>
        <v>5</v>
      </c>
      <c r="F423">
        <f t="shared" si="13"/>
        <v>502</v>
      </c>
      <c r="G423" t="str">
        <f>VLOOKUP(E423,DATA!A:C,3,FALSE)</f>
        <v>Perk</v>
      </c>
      <c r="H423" t="str">
        <f>VLOOKUP(MID(A423,LEN(A423)-2,1)*1,DATA!G:H,2,FALSE)</f>
        <v>PVP</v>
      </c>
      <c r="I423" t="str">
        <f>VLOOKUP(F423,DATA!B:D,3,FALSE)</f>
        <v>类型2</v>
      </c>
    </row>
    <row r="424" spans="1:9" x14ac:dyDescent="0.15">
      <c r="A424">
        <v>50202004</v>
      </c>
      <c r="B424">
        <f>VLOOKUP(A424,'Fox1'!A:F,2,FALSE)</f>
        <v>5</v>
      </c>
      <c r="C424" t="str">
        <f>VLOOKUP(A424,'Fox1'!A:E,5,FALSE)</f>
        <v>Lightweight</v>
      </c>
      <c r="D424" t="str">
        <f>VLOOKUP(A424,'Fox1'!A:F,6,FALSE)</f>
        <v>Sprint speed increase by 18%</v>
      </c>
      <c r="E424">
        <f t="shared" si="12"/>
        <v>5</v>
      </c>
      <c r="F424">
        <f t="shared" si="13"/>
        <v>502</v>
      </c>
      <c r="G424" t="str">
        <f>VLOOKUP(E424,DATA!A:C,3,FALSE)</f>
        <v>Perk</v>
      </c>
      <c r="H424" t="str">
        <f>VLOOKUP(MID(A424,LEN(A424)-2,1)*1,DATA!G:H,2,FALSE)</f>
        <v>PVP</v>
      </c>
      <c r="I424" t="str">
        <f>VLOOKUP(F424,DATA!B:D,3,FALSE)</f>
        <v>类型2</v>
      </c>
    </row>
    <row r="425" spans="1:9" x14ac:dyDescent="0.15">
      <c r="A425">
        <v>50203000</v>
      </c>
      <c r="B425">
        <f>VLOOKUP(A425,'Fox1'!A:F,2,FALSE)</f>
        <v>1</v>
      </c>
      <c r="C425" t="str">
        <f>VLOOKUP(A425,'Fox1'!A:E,5,FALSE)</f>
        <v>Hardline</v>
      </c>
      <c r="D425" t="str">
        <f>VLOOKUP(A425,'Fox1'!A:F,6,FALSE)</f>
        <v>Increase score earned by 10%</v>
      </c>
      <c r="E425">
        <f t="shared" si="12"/>
        <v>5</v>
      </c>
      <c r="F425">
        <f t="shared" si="13"/>
        <v>502</v>
      </c>
      <c r="G425" t="str">
        <f>VLOOKUP(E425,DATA!A:C,3,FALSE)</f>
        <v>Perk</v>
      </c>
      <c r="H425" t="str">
        <f>VLOOKUP(MID(A425,LEN(A425)-2,1)*1,DATA!G:H,2,FALSE)</f>
        <v>PVP</v>
      </c>
      <c r="I425" t="str">
        <f>VLOOKUP(F425,DATA!B:D,3,FALSE)</f>
        <v>类型2</v>
      </c>
    </row>
    <row r="426" spans="1:9" x14ac:dyDescent="0.15">
      <c r="A426">
        <v>50203001</v>
      </c>
      <c r="B426">
        <f>VLOOKUP(A426,'Fox1'!A:F,2,FALSE)</f>
        <v>2</v>
      </c>
      <c r="C426" t="str">
        <f>VLOOKUP(A426,'Fox1'!A:E,5,FALSE)</f>
        <v>Hardline</v>
      </c>
      <c r="D426" t="str">
        <f>VLOOKUP(A426,'Fox1'!A:F,6,FALSE)</f>
        <v>Increase score earned by 15%</v>
      </c>
      <c r="E426">
        <f t="shared" si="12"/>
        <v>5</v>
      </c>
      <c r="F426">
        <f t="shared" si="13"/>
        <v>502</v>
      </c>
      <c r="G426" t="str">
        <f>VLOOKUP(E426,DATA!A:C,3,FALSE)</f>
        <v>Perk</v>
      </c>
      <c r="H426" t="str">
        <f>VLOOKUP(MID(A426,LEN(A426)-2,1)*1,DATA!G:H,2,FALSE)</f>
        <v>PVP</v>
      </c>
      <c r="I426" t="str">
        <f>VLOOKUP(F426,DATA!B:D,3,FALSE)</f>
        <v>类型2</v>
      </c>
    </row>
    <row r="427" spans="1:9" x14ac:dyDescent="0.15">
      <c r="A427">
        <v>50203002</v>
      </c>
      <c r="B427">
        <f>VLOOKUP(A427,'Fox1'!A:F,2,FALSE)</f>
        <v>1</v>
      </c>
      <c r="C427" t="str">
        <f>VLOOKUP(A427,'Fox1'!A:E,5,FALSE)</f>
        <v>Hardline</v>
      </c>
      <c r="D427" t="str">
        <f>VLOOKUP(A427,'Fox1'!A:F,6,FALSE)</f>
        <v>Increase score earned by 20%</v>
      </c>
      <c r="E427">
        <f t="shared" si="12"/>
        <v>5</v>
      </c>
      <c r="F427">
        <f t="shared" si="13"/>
        <v>502</v>
      </c>
      <c r="G427" t="str">
        <f>VLOOKUP(E427,DATA!A:C,3,FALSE)</f>
        <v>Perk</v>
      </c>
      <c r="H427" t="str">
        <f>VLOOKUP(MID(A427,LEN(A427)-2,1)*1,DATA!G:H,2,FALSE)</f>
        <v>PVP</v>
      </c>
      <c r="I427" t="str">
        <f>VLOOKUP(F427,DATA!B:D,3,FALSE)</f>
        <v>类型2</v>
      </c>
    </row>
    <row r="428" spans="1:9" x14ac:dyDescent="0.15">
      <c r="A428">
        <v>50203003</v>
      </c>
      <c r="B428">
        <f>VLOOKUP(A428,'Fox1'!A:F,2,FALSE)</f>
        <v>4</v>
      </c>
      <c r="C428" t="str">
        <f>VLOOKUP(A428,'Fox1'!A:E,5,FALSE)</f>
        <v>Hardline</v>
      </c>
      <c r="D428" t="str">
        <f>VLOOKUP(A428,'Fox1'!A:F,6,FALSE)</f>
        <v>Increase score earned by 25%</v>
      </c>
      <c r="E428">
        <f t="shared" si="12"/>
        <v>5</v>
      </c>
      <c r="F428">
        <f t="shared" si="13"/>
        <v>502</v>
      </c>
      <c r="G428" t="str">
        <f>VLOOKUP(E428,DATA!A:C,3,FALSE)</f>
        <v>Perk</v>
      </c>
      <c r="H428" t="str">
        <f>VLOOKUP(MID(A428,LEN(A428)-2,1)*1,DATA!G:H,2,FALSE)</f>
        <v>PVP</v>
      </c>
      <c r="I428" t="str">
        <f>VLOOKUP(F428,DATA!B:D,3,FALSE)</f>
        <v>类型2</v>
      </c>
    </row>
    <row r="429" spans="1:9" x14ac:dyDescent="0.15">
      <c r="A429">
        <v>50203004</v>
      </c>
      <c r="B429">
        <f>VLOOKUP(A429,'Fox1'!A:F,2,FALSE)</f>
        <v>5</v>
      </c>
      <c r="C429" t="str">
        <f>VLOOKUP(A429,'Fox1'!A:E,5,FALSE)</f>
        <v>Hardline</v>
      </c>
      <c r="D429" t="str">
        <f>VLOOKUP(A429,'Fox1'!A:F,6,FALSE)</f>
        <v>Increase score earned by 30%</v>
      </c>
      <c r="E429">
        <f t="shared" si="12"/>
        <v>5</v>
      </c>
      <c r="F429">
        <f t="shared" si="13"/>
        <v>502</v>
      </c>
      <c r="G429" t="str">
        <f>VLOOKUP(E429,DATA!A:C,3,FALSE)</f>
        <v>Perk</v>
      </c>
      <c r="H429" t="str">
        <f>VLOOKUP(MID(A429,LEN(A429)-2,1)*1,DATA!G:H,2,FALSE)</f>
        <v>PVP</v>
      </c>
      <c r="I429" t="str">
        <f>VLOOKUP(F429,DATA!B:D,3,FALSE)</f>
        <v>类型2</v>
      </c>
    </row>
    <row r="430" spans="1:9" x14ac:dyDescent="0.15">
      <c r="A430">
        <v>50204002</v>
      </c>
      <c r="B430">
        <f>VLOOKUP(A430,'Fox1'!A:F,2,FALSE)</f>
        <v>1</v>
      </c>
      <c r="C430" t="str">
        <f>VLOOKUP(A430,'Fox1'!A:E,5,FALSE)</f>
        <v>First Bonus</v>
      </c>
      <c r="D430" t="str">
        <f>VLOOKUP(A430,'Fox1'!A:F,6,FALSE)</f>
        <v>Start with extra point in your scorestreak</v>
      </c>
      <c r="E430">
        <f t="shared" si="12"/>
        <v>5</v>
      </c>
      <c r="F430">
        <f t="shared" si="13"/>
        <v>502</v>
      </c>
      <c r="G430" t="str">
        <f>VLOOKUP(E430,DATA!A:C,3,FALSE)</f>
        <v>Perk</v>
      </c>
      <c r="H430" t="str">
        <f>VLOOKUP(MID(A430,LEN(A430)-2,1)*1,DATA!G:H,2,FALSE)</f>
        <v>PVP</v>
      </c>
      <c r="I430" t="str">
        <f>VLOOKUP(F430,DATA!B:D,3,FALSE)</f>
        <v>类型2</v>
      </c>
    </row>
    <row r="431" spans="1:9" x14ac:dyDescent="0.15">
      <c r="A431">
        <v>50205000</v>
      </c>
      <c r="B431">
        <f>VLOOKUP(A431,'Fox1'!A:F,2,FALSE)</f>
        <v>1</v>
      </c>
      <c r="C431" t="str">
        <f>VLOOKUP(A431,'Fox1'!A:E,5,FALSE)</f>
        <v>Blast Vest</v>
      </c>
      <c r="D431" t="str">
        <f>VLOOKUP(A431,'Fox1'!A:F,6,FALSE)</f>
        <v>Reduce damage 20% from explosion</v>
      </c>
      <c r="E431">
        <f t="shared" si="12"/>
        <v>5</v>
      </c>
      <c r="F431">
        <f t="shared" si="13"/>
        <v>502</v>
      </c>
      <c r="G431" t="str">
        <f>VLOOKUP(E431,DATA!A:C,3,FALSE)</f>
        <v>Perk</v>
      </c>
      <c r="H431" t="str">
        <f>VLOOKUP(MID(A431,LEN(A431)-2,1)*1,DATA!G:H,2,FALSE)</f>
        <v>PVP</v>
      </c>
      <c r="I431" t="str">
        <f>VLOOKUP(F431,DATA!B:D,3,FALSE)</f>
        <v>类型2</v>
      </c>
    </row>
    <row r="432" spans="1:9" x14ac:dyDescent="0.15">
      <c r="A432">
        <v>50205001</v>
      </c>
      <c r="B432">
        <f>VLOOKUP(A432,'Fox1'!A:F,2,FALSE)</f>
        <v>2</v>
      </c>
      <c r="C432" t="str">
        <f>VLOOKUP(A432,'Fox1'!A:E,5,FALSE)</f>
        <v>Blast Vest</v>
      </c>
      <c r="D432" t="str">
        <f>VLOOKUP(A432,'Fox1'!A:F,6,FALSE)</f>
        <v>Reduce damage 25% from explosion</v>
      </c>
      <c r="E432">
        <f t="shared" si="12"/>
        <v>5</v>
      </c>
      <c r="F432">
        <f t="shared" si="13"/>
        <v>502</v>
      </c>
      <c r="G432" t="str">
        <f>VLOOKUP(E432,DATA!A:C,3,FALSE)</f>
        <v>Perk</v>
      </c>
      <c r="H432" t="str">
        <f>VLOOKUP(MID(A432,LEN(A432)-2,1)*1,DATA!G:H,2,FALSE)</f>
        <v>PVP</v>
      </c>
      <c r="I432" t="str">
        <f>VLOOKUP(F432,DATA!B:D,3,FALSE)</f>
        <v>类型2</v>
      </c>
    </row>
    <row r="433" spans="1:9" x14ac:dyDescent="0.15">
      <c r="A433">
        <v>50205002</v>
      </c>
      <c r="B433">
        <f>VLOOKUP(A433,'Fox1'!A:F,2,FALSE)</f>
        <v>1</v>
      </c>
      <c r="C433" t="str">
        <f>VLOOKUP(A433,'Fox1'!A:E,5,FALSE)</f>
        <v>Blast Vest</v>
      </c>
      <c r="D433" t="str">
        <f>VLOOKUP(A433,'Fox1'!A:F,6,FALSE)</f>
        <v>Reduce damage 30% from explosion</v>
      </c>
      <c r="E433">
        <f t="shared" si="12"/>
        <v>5</v>
      </c>
      <c r="F433">
        <f t="shared" si="13"/>
        <v>502</v>
      </c>
      <c r="G433" t="str">
        <f>VLOOKUP(E433,DATA!A:C,3,FALSE)</f>
        <v>Perk</v>
      </c>
      <c r="H433" t="str">
        <f>VLOOKUP(MID(A433,LEN(A433)-2,1)*1,DATA!G:H,2,FALSE)</f>
        <v>PVP</v>
      </c>
      <c r="I433" t="str">
        <f>VLOOKUP(F433,DATA!B:D,3,FALSE)</f>
        <v>类型2</v>
      </c>
    </row>
    <row r="434" spans="1:9" x14ac:dyDescent="0.15">
      <c r="A434">
        <v>50205003</v>
      </c>
      <c r="B434">
        <f>VLOOKUP(A434,'Fox1'!A:F,2,FALSE)</f>
        <v>4</v>
      </c>
      <c r="C434" t="str">
        <f>VLOOKUP(A434,'Fox1'!A:E,5,FALSE)</f>
        <v>Blast Vest</v>
      </c>
      <c r="D434" t="str">
        <f>VLOOKUP(A434,'Fox1'!A:F,6,FALSE)</f>
        <v>Reduce damage 35% from explosion</v>
      </c>
      <c r="E434">
        <f t="shared" si="12"/>
        <v>5</v>
      </c>
      <c r="F434">
        <f t="shared" si="13"/>
        <v>502</v>
      </c>
      <c r="G434" t="str">
        <f>VLOOKUP(E434,DATA!A:C,3,FALSE)</f>
        <v>Perk</v>
      </c>
      <c r="H434" t="str">
        <f>VLOOKUP(MID(A434,LEN(A434)-2,1)*1,DATA!G:H,2,FALSE)</f>
        <v>PVP</v>
      </c>
      <c r="I434" t="str">
        <f>VLOOKUP(F434,DATA!B:D,3,FALSE)</f>
        <v>类型2</v>
      </c>
    </row>
    <row r="435" spans="1:9" x14ac:dyDescent="0.15">
      <c r="A435">
        <v>50206000</v>
      </c>
      <c r="B435">
        <f>VLOOKUP(A435,'Fox1'!A:F,2,FALSE)</f>
        <v>1</v>
      </c>
      <c r="C435" t="str">
        <f>VLOOKUP(A435,'Fox1'!A:E,5,FALSE)</f>
        <v>Dexterity</v>
      </c>
      <c r="D435" t="str">
        <f>VLOOKUP(A435,'Fox1'!A:F,6,FALSE)</f>
        <v>Increase reload speed by 25%</v>
      </c>
      <c r="E435">
        <f t="shared" si="12"/>
        <v>5</v>
      </c>
      <c r="F435">
        <f t="shared" si="13"/>
        <v>502</v>
      </c>
      <c r="G435" t="str">
        <f>VLOOKUP(E435,DATA!A:C,3,FALSE)</f>
        <v>Perk</v>
      </c>
      <c r="H435" t="str">
        <f>VLOOKUP(MID(A435,LEN(A435)-2,1)*1,DATA!G:H,2,FALSE)</f>
        <v>PVP</v>
      </c>
      <c r="I435" t="str">
        <f>VLOOKUP(F435,DATA!B:D,3,FALSE)</f>
        <v>类型2</v>
      </c>
    </row>
    <row r="436" spans="1:9" x14ac:dyDescent="0.15">
      <c r="A436">
        <v>50206001</v>
      </c>
      <c r="B436">
        <f>VLOOKUP(A436,'Fox1'!A:F,2,FALSE)</f>
        <v>2</v>
      </c>
      <c r="C436" t="str">
        <f>VLOOKUP(A436,'Fox1'!A:E,5,FALSE)</f>
        <v>Dexterity</v>
      </c>
      <c r="D436" t="str">
        <f>VLOOKUP(A436,'Fox1'!A:F,6,FALSE)</f>
        <v>Increase reload speed by 30%</v>
      </c>
      <c r="E436">
        <f t="shared" si="12"/>
        <v>5</v>
      </c>
      <c r="F436">
        <f t="shared" si="13"/>
        <v>502</v>
      </c>
      <c r="G436" t="str">
        <f>VLOOKUP(E436,DATA!A:C,3,FALSE)</f>
        <v>Perk</v>
      </c>
      <c r="H436" t="str">
        <f>VLOOKUP(MID(A436,LEN(A436)-2,1)*1,DATA!G:H,2,FALSE)</f>
        <v>PVP</v>
      </c>
      <c r="I436" t="str">
        <f>VLOOKUP(F436,DATA!B:D,3,FALSE)</f>
        <v>类型2</v>
      </c>
    </row>
    <row r="437" spans="1:9" x14ac:dyDescent="0.15">
      <c r="A437">
        <v>50206002</v>
      </c>
      <c r="B437">
        <f>VLOOKUP(A437,'Fox1'!A:F,2,FALSE)</f>
        <v>1</v>
      </c>
      <c r="C437" t="str">
        <f>VLOOKUP(A437,'Fox1'!A:E,5,FALSE)</f>
        <v>Dexterity</v>
      </c>
      <c r="D437" t="str">
        <f>VLOOKUP(A437,'Fox1'!A:F,6,FALSE)</f>
        <v>Increase reload speed by 35%</v>
      </c>
      <c r="E437">
        <f t="shared" si="12"/>
        <v>5</v>
      </c>
      <c r="F437">
        <f t="shared" si="13"/>
        <v>502</v>
      </c>
      <c r="G437" t="str">
        <f>VLOOKUP(E437,DATA!A:C,3,FALSE)</f>
        <v>Perk</v>
      </c>
      <c r="H437" t="str">
        <f>VLOOKUP(MID(A437,LEN(A437)-2,1)*1,DATA!G:H,2,FALSE)</f>
        <v>PVP</v>
      </c>
      <c r="I437" t="str">
        <f>VLOOKUP(F437,DATA!B:D,3,FALSE)</f>
        <v>类型2</v>
      </c>
    </row>
    <row r="438" spans="1:9" x14ac:dyDescent="0.15">
      <c r="A438">
        <v>50206003</v>
      </c>
      <c r="B438">
        <f>VLOOKUP(A438,'Fox1'!A:F,2,FALSE)</f>
        <v>4</v>
      </c>
      <c r="C438" t="str">
        <f>VLOOKUP(A438,'Fox1'!A:E,5,FALSE)</f>
        <v>Dexterity</v>
      </c>
      <c r="D438" t="str">
        <f>VLOOKUP(A438,'Fox1'!A:F,6,FALSE)</f>
        <v>Increase reload speed by 40%</v>
      </c>
      <c r="E438">
        <f t="shared" si="12"/>
        <v>5</v>
      </c>
      <c r="F438">
        <f t="shared" si="13"/>
        <v>502</v>
      </c>
      <c r="G438" t="str">
        <f>VLOOKUP(E438,DATA!A:C,3,FALSE)</f>
        <v>Perk</v>
      </c>
      <c r="H438" t="str">
        <f>VLOOKUP(MID(A438,LEN(A438)-2,1)*1,DATA!G:H,2,FALSE)</f>
        <v>PVP</v>
      </c>
      <c r="I438" t="str">
        <f>VLOOKUP(F438,DATA!B:D,3,FALSE)</f>
        <v>类型2</v>
      </c>
    </row>
    <row r="439" spans="1:9" x14ac:dyDescent="0.15">
      <c r="A439">
        <v>50206004</v>
      </c>
      <c r="B439">
        <f>VLOOKUP(A439,'Fox1'!A:F,2,FALSE)</f>
        <v>5</v>
      </c>
      <c r="C439" t="str">
        <f>VLOOKUP(A439,'Fox1'!A:E,5,FALSE)</f>
        <v>Dexterity</v>
      </c>
      <c r="D439" t="str">
        <f>VLOOKUP(A439,'Fox1'!A:F,6,FALSE)</f>
        <v>Increase reload and tactical equipment speed by 40%</v>
      </c>
      <c r="E439">
        <f t="shared" si="12"/>
        <v>5</v>
      </c>
      <c r="F439">
        <f t="shared" si="13"/>
        <v>502</v>
      </c>
      <c r="G439" t="str">
        <f>VLOOKUP(E439,DATA!A:C,3,FALSE)</f>
        <v>Perk</v>
      </c>
      <c r="H439" t="str">
        <f>VLOOKUP(MID(A439,LEN(A439)-2,1)*1,DATA!G:H,2,FALSE)</f>
        <v>PVP</v>
      </c>
      <c r="I439" t="str">
        <f>VLOOKUP(F439,DATA!B:D,3,FALSE)</f>
        <v>类型2</v>
      </c>
    </row>
    <row r="440" spans="1:9" x14ac:dyDescent="0.15">
      <c r="A440">
        <v>50207001</v>
      </c>
      <c r="B440">
        <f>VLOOKUP(A440,'Fox1'!A:F,2,FALSE)</f>
        <v>2</v>
      </c>
      <c r="C440" t="str">
        <f>VLOOKUP(A440,'Fox1'!A:E,5,FALSE)</f>
        <v>Persistence</v>
      </c>
      <c r="D440" t="str">
        <f>VLOOKUP(A440,'Fox1'!A:F,6,FALSE)</f>
        <v>Dying does not reset scorestreak, but scorestreak score requirement increase by 250%</v>
      </c>
      <c r="E440">
        <f t="shared" si="12"/>
        <v>5</v>
      </c>
      <c r="F440">
        <f t="shared" si="13"/>
        <v>502</v>
      </c>
      <c r="G440" t="str">
        <f>VLOOKUP(E440,DATA!A:C,3,FALSE)</f>
        <v>Perk</v>
      </c>
      <c r="H440" t="str">
        <f>VLOOKUP(MID(A440,LEN(A440)-2,1)*1,DATA!G:H,2,FALSE)</f>
        <v>PVP</v>
      </c>
      <c r="I440" t="str">
        <f>VLOOKUP(F440,DATA!B:D,3,FALSE)</f>
        <v>类型2</v>
      </c>
    </row>
    <row r="441" spans="1:9" x14ac:dyDescent="0.15">
      <c r="A441">
        <v>50207002</v>
      </c>
      <c r="B441">
        <f>VLOOKUP(A441,'Fox1'!A:F,2,FALSE)</f>
        <v>1</v>
      </c>
      <c r="C441" t="str">
        <f>VLOOKUP(A441,'Fox1'!A:E,5,FALSE)</f>
        <v>Persistence</v>
      </c>
      <c r="D441" t="str">
        <f>VLOOKUP(A441,'Fox1'!A:F,6,FALSE)</f>
        <v>Dying does not reset scorestreak, but scorestreak score requirement increase by 200%</v>
      </c>
      <c r="E441">
        <f t="shared" si="12"/>
        <v>5</v>
      </c>
      <c r="F441">
        <f t="shared" si="13"/>
        <v>502</v>
      </c>
      <c r="G441" t="str">
        <f>VLOOKUP(E441,DATA!A:C,3,FALSE)</f>
        <v>Perk</v>
      </c>
      <c r="H441" t="str">
        <f>VLOOKUP(MID(A441,LEN(A441)-2,1)*1,DATA!G:H,2,FALSE)</f>
        <v>PVP</v>
      </c>
      <c r="I441" t="str">
        <f>VLOOKUP(F441,DATA!B:D,3,FALSE)</f>
        <v>类型2</v>
      </c>
    </row>
    <row r="442" spans="1:9" x14ac:dyDescent="0.15">
      <c r="A442">
        <v>50208000</v>
      </c>
      <c r="B442">
        <f>VLOOKUP(A442,'Fox1'!A:F,2,FALSE)</f>
        <v>1</v>
      </c>
      <c r="C442" t="str">
        <f>VLOOKUP(A442,'Fox1'!A:E,5,FALSE)</f>
        <v>Fast Recover</v>
      </c>
      <c r="D442" t="str">
        <f>VLOOKUP(A442,'Fox1'!A:F,6,FALSE)</f>
        <v>Reduce the time it takes to recover to full health by 20%</v>
      </c>
      <c r="E442">
        <f t="shared" si="12"/>
        <v>5</v>
      </c>
      <c r="F442">
        <f t="shared" si="13"/>
        <v>502</v>
      </c>
      <c r="G442" t="str">
        <f>VLOOKUP(E442,DATA!A:C,3,FALSE)</f>
        <v>Perk</v>
      </c>
      <c r="H442" t="str">
        <f>VLOOKUP(MID(A442,LEN(A442)-2,1)*1,DATA!G:H,2,FALSE)</f>
        <v>PVP</v>
      </c>
      <c r="I442" t="str">
        <f>VLOOKUP(F442,DATA!B:D,3,FALSE)</f>
        <v>类型2</v>
      </c>
    </row>
    <row r="443" spans="1:9" x14ac:dyDescent="0.15">
      <c r="A443">
        <v>50208001</v>
      </c>
      <c r="B443">
        <f>VLOOKUP(A443,'Fox1'!A:F,2,FALSE)</f>
        <v>2</v>
      </c>
      <c r="C443" t="str">
        <f>VLOOKUP(A443,'Fox1'!A:E,5,FALSE)</f>
        <v>Fast Recover</v>
      </c>
      <c r="D443" t="str">
        <f>VLOOKUP(A443,'Fox1'!A:F,6,FALSE)</f>
        <v>Reduce the time it takes to recover to full health by 25%</v>
      </c>
      <c r="E443">
        <f t="shared" si="12"/>
        <v>5</v>
      </c>
      <c r="F443">
        <f t="shared" si="13"/>
        <v>502</v>
      </c>
      <c r="G443" t="str">
        <f>VLOOKUP(E443,DATA!A:C,3,FALSE)</f>
        <v>Perk</v>
      </c>
      <c r="H443" t="str">
        <f>VLOOKUP(MID(A443,LEN(A443)-2,1)*1,DATA!G:H,2,FALSE)</f>
        <v>PVP</v>
      </c>
      <c r="I443" t="str">
        <f>VLOOKUP(F443,DATA!B:D,3,FALSE)</f>
        <v>类型2</v>
      </c>
    </row>
    <row r="444" spans="1:9" x14ac:dyDescent="0.15">
      <c r="A444">
        <v>50208002</v>
      </c>
      <c r="B444">
        <f>VLOOKUP(A444,'Fox1'!A:F,2,FALSE)</f>
        <v>1</v>
      </c>
      <c r="C444" t="str">
        <f>VLOOKUP(A444,'Fox1'!A:E,5,FALSE)</f>
        <v>Fast Recover</v>
      </c>
      <c r="D444" t="str">
        <f>VLOOKUP(A444,'Fox1'!A:F,6,FALSE)</f>
        <v>Reduce the time it takes to recover to full health by 30%</v>
      </c>
      <c r="E444">
        <f t="shared" si="12"/>
        <v>5</v>
      </c>
      <c r="F444">
        <f t="shared" si="13"/>
        <v>502</v>
      </c>
      <c r="G444" t="str">
        <f>VLOOKUP(E444,DATA!A:C,3,FALSE)</f>
        <v>Perk</v>
      </c>
      <c r="H444" t="str">
        <f>VLOOKUP(MID(A444,LEN(A444)-2,1)*1,DATA!G:H,2,FALSE)</f>
        <v>PVP</v>
      </c>
      <c r="I444" t="str">
        <f>VLOOKUP(F444,DATA!B:D,3,FALSE)</f>
        <v>类型2</v>
      </c>
    </row>
    <row r="445" spans="1:9" x14ac:dyDescent="0.15">
      <c r="A445">
        <v>50208003</v>
      </c>
      <c r="B445">
        <f>VLOOKUP(A445,'Fox1'!A:F,2,FALSE)</f>
        <v>4</v>
      </c>
      <c r="C445" t="str">
        <f>VLOOKUP(A445,'Fox1'!A:E,5,FALSE)</f>
        <v>Fast Recover</v>
      </c>
      <c r="D445" t="str">
        <f>VLOOKUP(A445,'Fox1'!A:F,6,FALSE)</f>
        <v>Reduce the time it takes to recover to full health by 35%</v>
      </c>
      <c r="E445">
        <f t="shared" si="12"/>
        <v>5</v>
      </c>
      <c r="F445">
        <f t="shared" si="13"/>
        <v>502</v>
      </c>
      <c r="G445" t="str">
        <f>VLOOKUP(E445,DATA!A:C,3,FALSE)</f>
        <v>Perk</v>
      </c>
      <c r="H445" t="str">
        <f>VLOOKUP(MID(A445,LEN(A445)-2,1)*1,DATA!G:H,2,FALSE)</f>
        <v>PVP</v>
      </c>
      <c r="I445" t="str">
        <f>VLOOKUP(F445,DATA!B:D,3,FALSE)</f>
        <v>类型2</v>
      </c>
    </row>
    <row r="446" spans="1:9" x14ac:dyDescent="0.15">
      <c r="A446">
        <v>50208004</v>
      </c>
      <c r="B446">
        <f>VLOOKUP(A446,'Fox1'!A:F,2,FALSE)</f>
        <v>5</v>
      </c>
      <c r="C446" t="str">
        <f>VLOOKUP(A446,'Fox1'!A:E,5,FALSE)</f>
        <v>Fast Recover</v>
      </c>
      <c r="D446" t="str">
        <f>VLOOKUP(A446,'Fox1'!A:F,6,FALSE)</f>
        <v>Reduce the time it takes to recover to full health by 40%</v>
      </c>
      <c r="E446">
        <f t="shared" si="12"/>
        <v>5</v>
      </c>
      <c r="F446">
        <f t="shared" si="13"/>
        <v>502</v>
      </c>
      <c r="G446" t="str">
        <f>VLOOKUP(E446,DATA!A:C,3,FALSE)</f>
        <v>Perk</v>
      </c>
      <c r="H446" t="str">
        <f>VLOOKUP(MID(A446,LEN(A446)-2,1)*1,DATA!G:H,2,FALSE)</f>
        <v>PVP</v>
      </c>
      <c r="I446" t="str">
        <f>VLOOKUP(F446,DATA!B:D,3,FALSE)</f>
        <v>类型2</v>
      </c>
    </row>
    <row r="447" spans="1:9" x14ac:dyDescent="0.15">
      <c r="A447">
        <v>50209003</v>
      </c>
      <c r="B447">
        <f>VLOOKUP(A447,'Fox1'!A:F,2,FALSE)</f>
        <v>4</v>
      </c>
      <c r="C447" t="str">
        <f>VLOOKUP(A447,'Fox1'!A:E,5,FALSE)</f>
        <v>Detector</v>
      </c>
      <c r="D447" t="str">
        <f>VLOOKUP(A447,'Fox1'!A:F,6,FALSE)</f>
        <v>Gain a single radar sweep when a standard enemy UAV appears.</v>
      </c>
      <c r="E447">
        <f t="shared" si="12"/>
        <v>5</v>
      </c>
      <c r="F447">
        <f t="shared" si="13"/>
        <v>502</v>
      </c>
      <c r="G447" t="str">
        <f>VLOOKUP(E447,DATA!A:C,3,FALSE)</f>
        <v>Perk</v>
      </c>
      <c r="H447" t="str">
        <f>VLOOKUP(MID(A447,LEN(A447)-2,1)*1,DATA!G:H,2,FALSE)</f>
        <v>PVP</v>
      </c>
      <c r="I447" t="str">
        <f>VLOOKUP(F447,DATA!B:D,3,FALSE)</f>
        <v>类型2</v>
      </c>
    </row>
    <row r="448" spans="1:9" x14ac:dyDescent="0.15">
      <c r="A448">
        <v>50209004</v>
      </c>
      <c r="B448">
        <f>VLOOKUP(A448,'Fox1'!A:F,2,FALSE)</f>
        <v>5</v>
      </c>
      <c r="C448" t="str">
        <f>VLOOKUP(A448,'Fox1'!A:E,5,FALSE)</f>
        <v>Detector</v>
      </c>
      <c r="D448" t="str">
        <f>VLOOKUP(A448,'Fox1'!A:F,6,FALSE)</f>
        <v>Gain two single radar sweeps when a standard enemy UAV appears.</v>
      </c>
      <c r="E448">
        <f t="shared" si="12"/>
        <v>5</v>
      </c>
      <c r="F448">
        <f t="shared" si="13"/>
        <v>502</v>
      </c>
      <c r="G448" t="str">
        <f>VLOOKUP(E448,DATA!A:C,3,FALSE)</f>
        <v>Perk</v>
      </c>
      <c r="H448" t="str">
        <f>VLOOKUP(MID(A448,LEN(A448)-2,1)*1,DATA!G:H,2,FALSE)</f>
        <v>PVP</v>
      </c>
      <c r="I448" t="str">
        <f>VLOOKUP(F448,DATA!B:D,3,FALSE)</f>
        <v>类型2</v>
      </c>
    </row>
    <row r="449" spans="1:9" x14ac:dyDescent="0.15">
      <c r="A449">
        <v>50210002</v>
      </c>
      <c r="B449">
        <f>VLOOKUP(A449,'Fox1'!A:F,2,FALSE)</f>
        <v>1</v>
      </c>
      <c r="C449" t="str">
        <f>VLOOKUP(A449,'Fox1'!A:E,5,FALSE)</f>
        <v>Overload</v>
      </c>
      <c r="D449" t="str">
        <f>VLOOKUP(A449,'Fox1'!A:F,6,FALSE)</f>
        <v>Reduce time needed for skills by 10%</v>
      </c>
      <c r="E449">
        <f t="shared" si="12"/>
        <v>5</v>
      </c>
      <c r="F449">
        <f t="shared" si="13"/>
        <v>502</v>
      </c>
      <c r="G449" t="str">
        <f>VLOOKUP(E449,DATA!A:C,3,FALSE)</f>
        <v>Perk</v>
      </c>
      <c r="H449" t="str">
        <f>VLOOKUP(MID(A449,LEN(A449)-2,1)*1,DATA!G:H,2,FALSE)</f>
        <v>PVP</v>
      </c>
      <c r="I449" t="str">
        <f>VLOOKUP(F449,DATA!B:D,3,FALSE)</f>
        <v>类型2</v>
      </c>
    </row>
    <row r="450" spans="1:9" x14ac:dyDescent="0.15">
      <c r="A450">
        <v>50210003</v>
      </c>
      <c r="B450">
        <f>VLOOKUP(A450,'Fox1'!A:F,2,FALSE)</f>
        <v>4</v>
      </c>
      <c r="C450" t="str">
        <f>VLOOKUP(A450,'Fox1'!A:E,5,FALSE)</f>
        <v>Overload</v>
      </c>
      <c r="D450" t="str">
        <f>VLOOKUP(A450,'Fox1'!A:F,6,FALSE)</f>
        <v>Reduce time needed for skills by 20%</v>
      </c>
      <c r="E450">
        <f t="shared" ref="E450:E513" si="14">LEFT(A450,LEN(A450)-7)*1</f>
        <v>5</v>
      </c>
      <c r="F450">
        <f t="shared" ref="F450:F513" si="15">LEFT(A450,LEN(A450)-5)*1</f>
        <v>502</v>
      </c>
      <c r="G450" t="str">
        <f>VLOOKUP(E450,DATA!A:C,3,FALSE)</f>
        <v>Perk</v>
      </c>
      <c r="H450" t="str">
        <f>VLOOKUP(MID(A450,LEN(A450)-2,1)*1,DATA!G:H,2,FALSE)</f>
        <v>PVP</v>
      </c>
      <c r="I450" t="str">
        <f>VLOOKUP(F450,DATA!B:D,3,FALSE)</f>
        <v>类型2</v>
      </c>
    </row>
    <row r="451" spans="1:9" x14ac:dyDescent="0.15">
      <c r="A451">
        <v>50307002</v>
      </c>
      <c r="B451">
        <f>VLOOKUP(A451,'Fox1'!A:F,2,FALSE)</f>
        <v>1</v>
      </c>
      <c r="C451" t="str">
        <f>VLOOKUP(A451,'Fox1'!A:E,5,FALSE)</f>
        <v>Dead Silence</v>
      </c>
      <c r="D451" t="str">
        <f>VLOOKUP(A451,'Fox1'!A:F,6,FALSE)</f>
        <v>Player：lightly movement</v>
      </c>
      <c r="E451">
        <f t="shared" si="14"/>
        <v>5</v>
      </c>
      <c r="F451">
        <f t="shared" si="15"/>
        <v>503</v>
      </c>
      <c r="G451" t="str">
        <f>VLOOKUP(E451,DATA!A:C,3,FALSE)</f>
        <v>Perk</v>
      </c>
      <c r="H451" t="str">
        <f>VLOOKUP(MID(A451,LEN(A451)-2,1)*1,DATA!G:H,2,FALSE)</f>
        <v>PVP</v>
      </c>
      <c r="I451" t="str">
        <f>VLOOKUP(F451,DATA!B:D,3,FALSE)</f>
        <v>类型3</v>
      </c>
    </row>
    <row r="452" spans="1:9" x14ac:dyDescent="0.15">
      <c r="A452">
        <v>50307003</v>
      </c>
      <c r="B452">
        <f>VLOOKUP(A452,'Fox1'!A:F,2,FALSE)</f>
        <v>4</v>
      </c>
      <c r="C452" t="str">
        <f>VLOOKUP(A452,'Fox1'!A:E,5,FALSE)</f>
        <v>Dead Silence</v>
      </c>
      <c r="D452" t="str">
        <f>VLOOKUP(A452,'Fox1'!A:F,6,FALSE)</f>
        <v>Player：Silent movement</v>
      </c>
      <c r="E452">
        <f t="shared" si="14"/>
        <v>5</v>
      </c>
      <c r="F452">
        <f t="shared" si="15"/>
        <v>503</v>
      </c>
      <c r="G452" t="str">
        <f>VLOOKUP(E452,DATA!A:C,3,FALSE)</f>
        <v>Perk</v>
      </c>
      <c r="H452" t="str">
        <f>VLOOKUP(MID(A452,LEN(A452)-2,1)*1,DATA!G:H,2,FALSE)</f>
        <v>PVP</v>
      </c>
      <c r="I452" t="str">
        <f>VLOOKUP(F452,DATA!B:D,3,FALSE)</f>
        <v>类型3</v>
      </c>
    </row>
    <row r="453" spans="1:9" x14ac:dyDescent="0.15">
      <c r="A453">
        <v>50307004</v>
      </c>
      <c r="B453">
        <f>VLOOKUP(A453,'Fox1'!A:F,2,FALSE)</f>
        <v>5</v>
      </c>
      <c r="C453" t="str">
        <f>VLOOKUP(A453,'Fox1'!A:E,5,FALSE)</f>
        <v>Dead Silence</v>
      </c>
      <c r="D453" t="str">
        <f>VLOOKUP(A453,'Fox1'!A:F,6,FALSE)</f>
        <v>Player：Silent movement</v>
      </c>
      <c r="E453">
        <f t="shared" si="14"/>
        <v>5</v>
      </c>
      <c r="F453">
        <f t="shared" si="15"/>
        <v>503</v>
      </c>
      <c r="G453" t="str">
        <f>VLOOKUP(E453,DATA!A:C,3,FALSE)</f>
        <v>Perk</v>
      </c>
      <c r="H453" t="str">
        <f>VLOOKUP(MID(A453,LEN(A453)-2,1)*1,DATA!G:H,2,FALSE)</f>
        <v>PVP</v>
      </c>
      <c r="I453" t="str">
        <f>VLOOKUP(F453,DATA!B:D,3,FALSE)</f>
        <v>类型3</v>
      </c>
    </row>
    <row r="454" spans="1:9" x14ac:dyDescent="0.15">
      <c r="A454">
        <v>50308003</v>
      </c>
      <c r="B454">
        <f>VLOOKUP(A454,'Fox1'!A:F,2,FALSE)</f>
        <v>4</v>
      </c>
      <c r="C454" t="str">
        <f>VLOOKUP(A454,'Fox1'!A:E,5,FALSE)</f>
        <v>HeadHunter</v>
      </c>
      <c r="D454" t="str">
        <f>VLOOKUP(A454,'Fox1'!A:F,6,FALSE)</f>
        <v>Increase headshot damage by 30%</v>
      </c>
      <c r="E454">
        <f t="shared" si="14"/>
        <v>5</v>
      </c>
      <c r="F454">
        <f t="shared" si="15"/>
        <v>503</v>
      </c>
      <c r="G454" t="str">
        <f>VLOOKUP(E454,DATA!A:C,3,FALSE)</f>
        <v>Perk</v>
      </c>
      <c r="H454" t="str">
        <f>VLOOKUP(MID(A454,LEN(A454)-2,1)*1,DATA!G:H,2,FALSE)</f>
        <v>PVP</v>
      </c>
      <c r="I454" t="str">
        <f>VLOOKUP(F454,DATA!B:D,3,FALSE)</f>
        <v>类型3</v>
      </c>
    </row>
    <row r="455" spans="1:9" x14ac:dyDescent="0.15">
      <c r="A455">
        <v>50308004</v>
      </c>
      <c r="B455">
        <f>VLOOKUP(A455,'Fox1'!A:F,2,FALSE)</f>
        <v>5</v>
      </c>
      <c r="C455" t="str">
        <f>VLOOKUP(A455,'Fox1'!A:E,5,FALSE)</f>
        <v>HeadHunter</v>
      </c>
      <c r="D455" t="str">
        <f>VLOOKUP(A455,'Fox1'!A:F,6,FALSE)</f>
        <v>Increase headshot damage by 50%</v>
      </c>
      <c r="E455">
        <f t="shared" si="14"/>
        <v>5</v>
      </c>
      <c r="F455">
        <f t="shared" si="15"/>
        <v>503</v>
      </c>
      <c r="G455" t="str">
        <f>VLOOKUP(E455,DATA!A:C,3,FALSE)</f>
        <v>Perk</v>
      </c>
      <c r="H455" t="str">
        <f>VLOOKUP(MID(A455,LEN(A455)-2,1)*1,DATA!G:H,2,FALSE)</f>
        <v>PVP</v>
      </c>
      <c r="I455" t="str">
        <f>VLOOKUP(F455,DATA!B:D,3,FALSE)</f>
        <v>类型3</v>
      </c>
    </row>
    <row r="456" spans="1:9" x14ac:dyDescent="0.15">
      <c r="A456">
        <v>50309000</v>
      </c>
      <c r="B456">
        <f>VLOOKUP(A456,'Fox1'!A:F,2,FALSE)</f>
        <v>1</v>
      </c>
      <c r="C456" t="str">
        <f>VLOOKUP(A456,'Fox1'!A:E,5,FALSE)</f>
        <v>Tactical Mask</v>
      </c>
      <c r="D456" t="str">
        <f>VLOOKUP(A456,'Fox1'!A:F,6,FALSE)</f>
        <v>Reduce the effect from tactical equipment by 25%</v>
      </c>
      <c r="E456">
        <f t="shared" si="14"/>
        <v>5</v>
      </c>
      <c r="F456">
        <f t="shared" si="15"/>
        <v>503</v>
      </c>
      <c r="G456" t="str">
        <f>VLOOKUP(E456,DATA!A:C,3,FALSE)</f>
        <v>Perk</v>
      </c>
      <c r="H456" t="str">
        <f>VLOOKUP(MID(A456,LEN(A456)-2,1)*1,DATA!G:H,2,FALSE)</f>
        <v>PVP</v>
      </c>
      <c r="I456" t="str">
        <f>VLOOKUP(F456,DATA!B:D,3,FALSE)</f>
        <v>类型3</v>
      </c>
    </row>
    <row r="457" spans="1:9" x14ac:dyDescent="0.15">
      <c r="A457">
        <v>50309001</v>
      </c>
      <c r="B457">
        <f>VLOOKUP(A457,'Fox1'!A:F,2,FALSE)</f>
        <v>2</v>
      </c>
      <c r="C457" t="str">
        <f>VLOOKUP(A457,'Fox1'!A:E,5,FALSE)</f>
        <v>Tactical Mask</v>
      </c>
      <c r="D457" t="str">
        <f>VLOOKUP(A457,'Fox1'!A:F,6,FALSE)</f>
        <v>Reduce the effect from tactical equipment by 30%</v>
      </c>
      <c r="E457">
        <f t="shared" si="14"/>
        <v>5</v>
      </c>
      <c r="F457">
        <f t="shared" si="15"/>
        <v>503</v>
      </c>
      <c r="G457" t="str">
        <f>VLOOKUP(E457,DATA!A:C,3,FALSE)</f>
        <v>Perk</v>
      </c>
      <c r="H457" t="str">
        <f>VLOOKUP(MID(A457,LEN(A457)-2,1)*1,DATA!G:H,2,FALSE)</f>
        <v>PVP</v>
      </c>
      <c r="I457" t="str">
        <f>VLOOKUP(F457,DATA!B:D,3,FALSE)</f>
        <v>类型3</v>
      </c>
    </row>
    <row r="458" spans="1:9" x14ac:dyDescent="0.15">
      <c r="A458">
        <v>50309002</v>
      </c>
      <c r="B458">
        <f>VLOOKUP(A458,'Fox1'!A:F,2,FALSE)</f>
        <v>1</v>
      </c>
      <c r="C458" t="str">
        <f>VLOOKUP(A458,'Fox1'!A:E,5,FALSE)</f>
        <v>Tactical Mask</v>
      </c>
      <c r="D458" t="str">
        <f>VLOOKUP(A458,'Fox1'!A:F,6,FALSE)</f>
        <v>Reduce the effect from tactical equipment by 35%</v>
      </c>
      <c r="E458">
        <f t="shared" si="14"/>
        <v>5</v>
      </c>
      <c r="F458">
        <f t="shared" si="15"/>
        <v>503</v>
      </c>
      <c r="G458" t="str">
        <f>VLOOKUP(E458,DATA!A:C,3,FALSE)</f>
        <v>Perk</v>
      </c>
      <c r="H458" t="str">
        <f>VLOOKUP(MID(A458,LEN(A458)-2,1)*1,DATA!G:H,2,FALSE)</f>
        <v>PVP</v>
      </c>
      <c r="I458" t="str">
        <f>VLOOKUP(F458,DATA!B:D,3,FALSE)</f>
        <v>类型3</v>
      </c>
    </row>
    <row r="459" spans="1:9" x14ac:dyDescent="0.15">
      <c r="A459">
        <v>50309003</v>
      </c>
      <c r="B459">
        <f>VLOOKUP(A459,'Fox1'!A:F,2,FALSE)</f>
        <v>4</v>
      </c>
      <c r="C459" t="str">
        <f>VLOOKUP(A459,'Fox1'!A:E,5,FALSE)</f>
        <v>Tactical Mask</v>
      </c>
      <c r="D459" t="str">
        <f>VLOOKUP(A459,'Fox1'!A:F,6,FALSE)</f>
        <v>Reduce the effect from tactical equipment by 40%</v>
      </c>
      <c r="E459">
        <f t="shared" si="14"/>
        <v>5</v>
      </c>
      <c r="F459">
        <f t="shared" si="15"/>
        <v>503</v>
      </c>
      <c r="G459" t="str">
        <f>VLOOKUP(E459,DATA!A:C,3,FALSE)</f>
        <v>Perk</v>
      </c>
      <c r="H459" t="str">
        <f>VLOOKUP(MID(A459,LEN(A459)-2,1)*1,DATA!G:H,2,FALSE)</f>
        <v>PVP</v>
      </c>
      <c r="I459" t="str">
        <f>VLOOKUP(F459,DATA!B:D,3,FALSE)</f>
        <v>类型3</v>
      </c>
    </row>
    <row r="460" spans="1:9" x14ac:dyDescent="0.15">
      <c r="A460">
        <v>50309004</v>
      </c>
      <c r="B460">
        <f>VLOOKUP(A460,'Fox1'!A:F,2,FALSE)</f>
        <v>5</v>
      </c>
      <c r="C460" t="str">
        <f>VLOOKUP(A460,'Fox1'!A:E,5,FALSE)</f>
        <v>Tactical Mask</v>
      </c>
      <c r="D460" t="str">
        <f>VLOOKUP(A460,'Fox1'!A:F,6,FALSE)</f>
        <v>Reduce the effect from tactical equipment by 45%</v>
      </c>
      <c r="E460">
        <f t="shared" si="14"/>
        <v>5</v>
      </c>
      <c r="F460">
        <f t="shared" si="15"/>
        <v>503</v>
      </c>
      <c r="G460" t="str">
        <f>VLOOKUP(E460,DATA!A:C,3,FALSE)</f>
        <v>Perk</v>
      </c>
      <c r="H460" t="str">
        <f>VLOOKUP(MID(A460,LEN(A460)-2,1)*1,DATA!G:H,2,FALSE)</f>
        <v>PVP</v>
      </c>
      <c r="I460" t="str">
        <f>VLOOKUP(F460,DATA!B:D,3,FALSE)</f>
        <v>类型3</v>
      </c>
    </row>
    <row r="461" spans="1:9" x14ac:dyDescent="0.15">
      <c r="A461">
        <v>50310002</v>
      </c>
      <c r="B461">
        <f>VLOOKUP(A461,'Fox1'!A:F,2,FALSE)</f>
        <v>1</v>
      </c>
      <c r="C461" t="str">
        <f>VLOOKUP(A461,'Fox1'!A:E,5,FALSE)</f>
        <v>Demo Expert</v>
      </c>
      <c r="D461" t="str">
        <f>VLOOKUP(A461,'Fox1'!A:F,6,FALSE)</f>
        <v>Increase explosive damage by 20%</v>
      </c>
      <c r="E461">
        <f t="shared" si="14"/>
        <v>5</v>
      </c>
      <c r="F461">
        <f t="shared" si="15"/>
        <v>503</v>
      </c>
      <c r="G461" t="str">
        <f>VLOOKUP(E461,DATA!A:C,3,FALSE)</f>
        <v>Perk</v>
      </c>
      <c r="H461" t="str">
        <f>VLOOKUP(MID(A461,LEN(A461)-2,1)*1,DATA!G:H,2,FALSE)</f>
        <v>PVP</v>
      </c>
      <c r="I461" t="str">
        <f>VLOOKUP(F461,DATA!B:D,3,FALSE)</f>
        <v>类型3</v>
      </c>
    </row>
    <row r="462" spans="1:9" x14ac:dyDescent="0.15">
      <c r="A462">
        <v>50310003</v>
      </c>
      <c r="B462">
        <f>VLOOKUP(A462,'Fox1'!A:F,2,FALSE)</f>
        <v>4</v>
      </c>
      <c r="C462" t="str">
        <f>VLOOKUP(A462,'Fox1'!A:E,5,FALSE)</f>
        <v>Demo Expert</v>
      </c>
      <c r="D462" t="str">
        <f>VLOOKUP(A462,'Fox1'!A:F,6,FALSE)</f>
        <v>Increase explosive damage by 25%</v>
      </c>
      <c r="E462">
        <f t="shared" si="14"/>
        <v>5</v>
      </c>
      <c r="F462">
        <f t="shared" si="15"/>
        <v>503</v>
      </c>
      <c r="G462" t="str">
        <f>VLOOKUP(E462,DATA!A:C,3,FALSE)</f>
        <v>Perk</v>
      </c>
      <c r="H462" t="str">
        <f>VLOOKUP(MID(A462,LEN(A462)-2,1)*1,DATA!G:H,2,FALSE)</f>
        <v>PVP</v>
      </c>
      <c r="I462" t="str">
        <f>VLOOKUP(F462,DATA!B:D,3,FALSE)</f>
        <v>类型3</v>
      </c>
    </row>
    <row r="463" spans="1:9" x14ac:dyDescent="0.15">
      <c r="A463">
        <v>50310004</v>
      </c>
      <c r="B463">
        <f>VLOOKUP(A463,'Fox1'!A:F,2,FALSE)</f>
        <v>5</v>
      </c>
      <c r="C463" t="str">
        <f>VLOOKUP(A463,'Fox1'!A:E,5,FALSE)</f>
        <v>Demo Expert</v>
      </c>
      <c r="D463" t="str">
        <f>VLOOKUP(A463,'Fox1'!A:F,6,FALSE)</f>
        <v>Increase explosive damage by 30%</v>
      </c>
      <c r="E463">
        <f t="shared" si="14"/>
        <v>5</v>
      </c>
      <c r="F463">
        <f t="shared" si="15"/>
        <v>503</v>
      </c>
      <c r="G463" t="str">
        <f>VLOOKUP(E463,DATA!A:C,3,FALSE)</f>
        <v>Perk</v>
      </c>
      <c r="H463" t="str">
        <f>VLOOKUP(MID(A463,LEN(A463)-2,1)*1,DATA!G:H,2,FALSE)</f>
        <v>PVP</v>
      </c>
      <c r="I463" t="str">
        <f>VLOOKUP(F463,DATA!B:D,3,FALSE)</f>
        <v>类型3</v>
      </c>
    </row>
    <row r="464" spans="1:9" x14ac:dyDescent="0.15">
      <c r="A464">
        <v>50311002</v>
      </c>
      <c r="B464">
        <f>VLOOKUP(A464,'Fox1'!A:F,2,FALSE)</f>
        <v>1</v>
      </c>
      <c r="C464" t="str">
        <f>VLOOKUP(A464,'Fox1'!A:E,5,FALSE)</f>
        <v>Paint Shot</v>
      </c>
      <c r="D464" t="str">
        <f>VLOOKUP(A464,'Fox1'!A:F,6,FALSE)</f>
        <v>Enemy will be displayed on radar after getting shot by tactical equipment</v>
      </c>
      <c r="E464">
        <f t="shared" si="14"/>
        <v>5</v>
      </c>
      <c r="F464">
        <f t="shared" si="15"/>
        <v>503</v>
      </c>
      <c r="G464" t="str">
        <f>VLOOKUP(E464,DATA!A:C,3,FALSE)</f>
        <v>Perk</v>
      </c>
      <c r="H464" t="str">
        <f>VLOOKUP(MID(A464,LEN(A464)-2,1)*1,DATA!G:H,2,FALSE)</f>
        <v>PVP</v>
      </c>
      <c r="I464" t="str">
        <f>VLOOKUP(F464,DATA!B:D,3,FALSE)</f>
        <v>类型3</v>
      </c>
    </row>
    <row r="465" spans="1:9" x14ac:dyDescent="0.15">
      <c r="A465">
        <v>50311003</v>
      </c>
      <c r="B465">
        <f>VLOOKUP(A465,'Fox1'!A:F,2,FALSE)</f>
        <v>4</v>
      </c>
      <c r="C465" t="str">
        <f>VLOOKUP(A465,'Fox1'!A:E,5,FALSE)</f>
        <v>Paint Shot</v>
      </c>
      <c r="D465" t="str">
        <f>VLOOKUP(A465,'Fox1'!A:F,6,FALSE)</f>
        <v>Enemy will be displayed on radar after getting shot by tactical equipment or lethal equipment</v>
      </c>
      <c r="E465">
        <f t="shared" si="14"/>
        <v>5</v>
      </c>
      <c r="F465">
        <f t="shared" si="15"/>
        <v>503</v>
      </c>
      <c r="G465" t="str">
        <f>VLOOKUP(E465,DATA!A:C,3,FALSE)</f>
        <v>Perk</v>
      </c>
      <c r="H465" t="str">
        <f>VLOOKUP(MID(A465,LEN(A465)-2,1)*1,DATA!G:H,2,FALSE)</f>
        <v>PVP</v>
      </c>
      <c r="I465" t="str">
        <f>VLOOKUP(F465,DATA!B:D,3,FALSE)</f>
        <v>类型3</v>
      </c>
    </row>
    <row r="466" spans="1:9" x14ac:dyDescent="0.15">
      <c r="A466">
        <v>50311004</v>
      </c>
      <c r="B466">
        <f>VLOOKUP(A466,'Fox1'!A:F,2,FALSE)</f>
        <v>5</v>
      </c>
      <c r="C466" t="str">
        <f>VLOOKUP(A466,'Fox1'!A:E,5,FALSE)</f>
        <v>Paint Shot</v>
      </c>
      <c r="D466" t="str">
        <f>VLOOKUP(A466,'Fox1'!A:F,6,FALSE)</f>
        <v>Enemy will be displayed on radar after getting shot by tactical equipment,lethal equipment or gunshot</v>
      </c>
      <c r="E466">
        <f t="shared" si="14"/>
        <v>5</v>
      </c>
      <c r="F466">
        <f t="shared" si="15"/>
        <v>503</v>
      </c>
      <c r="G466" t="str">
        <f>VLOOKUP(E466,DATA!A:C,3,FALSE)</f>
        <v>Perk</v>
      </c>
      <c r="H466" t="str">
        <f>VLOOKUP(MID(A466,LEN(A466)-2,1)*1,DATA!G:H,2,FALSE)</f>
        <v>PVP</v>
      </c>
      <c r="I466" t="str">
        <f>VLOOKUP(F466,DATA!B:D,3,FALSE)</f>
        <v>类型3</v>
      </c>
    </row>
    <row r="467" spans="1:9" x14ac:dyDescent="0.15">
      <c r="A467">
        <v>50312002</v>
      </c>
      <c r="B467">
        <f>VLOOKUP(A467,'Fox1'!A:F,2,FALSE)</f>
        <v>1</v>
      </c>
      <c r="C467" t="str">
        <f>VLOOKUP(A467,'Fox1'!A:E,5,FALSE)</f>
        <v>Arsenal</v>
      </c>
      <c r="D467" t="str">
        <f>VLOOKUP(A467,'Fox1'!A:F,6,FALSE)</f>
        <v>Increase tactical equipment</v>
      </c>
      <c r="E467">
        <f t="shared" si="14"/>
        <v>5</v>
      </c>
      <c r="F467">
        <f t="shared" si="15"/>
        <v>503</v>
      </c>
      <c r="G467" t="str">
        <f>VLOOKUP(E467,DATA!A:C,3,FALSE)</f>
        <v>Perk</v>
      </c>
      <c r="H467" t="str">
        <f>VLOOKUP(MID(A467,LEN(A467)-2,1)*1,DATA!G:H,2,FALSE)</f>
        <v>PVP</v>
      </c>
      <c r="I467" t="str">
        <f>VLOOKUP(F467,DATA!B:D,3,FALSE)</f>
        <v>类型3</v>
      </c>
    </row>
    <row r="468" spans="1:9" x14ac:dyDescent="0.15">
      <c r="A468">
        <v>50312004</v>
      </c>
      <c r="B468">
        <f>VLOOKUP(A468,'Fox1'!A:F,2,FALSE)</f>
        <v>5</v>
      </c>
      <c r="C468" t="str">
        <f>VLOOKUP(A468,'Fox1'!A:E,5,FALSE)</f>
        <v>Arsenal</v>
      </c>
      <c r="D468" t="str">
        <f>VLOOKUP(A468,'Fox1'!A:F,6,FALSE)</f>
        <v>Increases lethal equipment.</v>
      </c>
      <c r="E468">
        <f t="shared" si="14"/>
        <v>5</v>
      </c>
      <c r="F468">
        <f t="shared" si="15"/>
        <v>503</v>
      </c>
      <c r="G468" t="str">
        <f>VLOOKUP(E468,DATA!A:C,3,FALSE)</f>
        <v>Perk</v>
      </c>
      <c r="H468" t="str">
        <f>VLOOKUP(MID(A468,LEN(A468)-2,1)*1,DATA!G:H,2,FALSE)</f>
        <v>PVP</v>
      </c>
      <c r="I468" t="str">
        <f>VLOOKUP(F468,DATA!B:D,3,FALSE)</f>
        <v>类型3</v>
      </c>
    </row>
    <row r="469" spans="1:9" x14ac:dyDescent="0.15">
      <c r="A469">
        <v>50313003</v>
      </c>
      <c r="B469">
        <f>VLOOKUP(A469,'Fox1'!A:F,2,FALSE)</f>
        <v>4</v>
      </c>
      <c r="C469" t="str">
        <f>VLOOKUP(A469,'Fox1'!A:E,5,FALSE)</f>
        <v>Bio-Tag</v>
      </c>
      <c r="D469" t="str">
        <f>VLOOKUP(A469,'Fox1'!A:F,6,FALSE)</f>
        <v>Paint the target you damaged. Allow you to view target's health bar through wall by 1 second.</v>
      </c>
      <c r="E469">
        <f t="shared" si="14"/>
        <v>5</v>
      </c>
      <c r="F469">
        <f t="shared" si="15"/>
        <v>503</v>
      </c>
      <c r="G469" t="str">
        <f>VLOOKUP(E469,DATA!A:C,3,FALSE)</f>
        <v>Perk</v>
      </c>
      <c r="H469" t="str">
        <f>VLOOKUP(MID(A469,LEN(A469)-2,1)*1,DATA!G:H,2,FALSE)</f>
        <v>PVP</v>
      </c>
      <c r="I469" t="str">
        <f>VLOOKUP(F469,DATA!B:D,3,FALSE)</f>
        <v>类型3</v>
      </c>
    </row>
    <row r="470" spans="1:9" x14ac:dyDescent="0.15">
      <c r="A470">
        <v>50313004</v>
      </c>
      <c r="B470">
        <f>VLOOKUP(A470,'Fox1'!A:F,2,FALSE)</f>
        <v>5</v>
      </c>
      <c r="C470" t="str">
        <f>VLOOKUP(A470,'Fox1'!A:E,5,FALSE)</f>
        <v>Bio-Tag</v>
      </c>
      <c r="D470" t="str">
        <f>VLOOKUP(A470,'Fox1'!A:F,6,FALSE)</f>
        <v>Paint the target you damaged. Allow you to view target's health bar through wall by 1.5 second.</v>
      </c>
      <c r="E470">
        <f t="shared" si="14"/>
        <v>5</v>
      </c>
      <c r="F470">
        <f t="shared" si="15"/>
        <v>503</v>
      </c>
      <c r="G470" t="str">
        <f>VLOOKUP(E470,DATA!A:C,3,FALSE)</f>
        <v>Perk</v>
      </c>
      <c r="H470" t="str">
        <f>VLOOKUP(MID(A470,LEN(A470)-2,1)*1,DATA!G:H,2,FALSE)</f>
        <v>PVP</v>
      </c>
      <c r="I470" t="str">
        <f>VLOOKUP(F470,DATA!B:D,3,FALSE)</f>
        <v>类型3</v>
      </c>
    </row>
    <row r="471" spans="1:9" x14ac:dyDescent="0.15">
      <c r="A471">
        <v>50314002</v>
      </c>
      <c r="B471">
        <f>VLOOKUP(A471,'Fox1'!A:F,2,FALSE)</f>
        <v>1</v>
      </c>
      <c r="C471" t="str">
        <f>VLOOKUP(A471,'Fox1'!A:E,5,FALSE)</f>
        <v>Supply(L)</v>
      </c>
      <c r="D471" t="str">
        <f>VLOOKUP(A471,'Fox1'!A:F,6,FALSE)</f>
        <v>10% Chance Able to recover lethal equipment after killing an enemy.</v>
      </c>
      <c r="E471">
        <f t="shared" si="14"/>
        <v>5</v>
      </c>
      <c r="F471">
        <f t="shared" si="15"/>
        <v>503</v>
      </c>
      <c r="G471" t="str">
        <f>VLOOKUP(E471,DATA!A:C,3,FALSE)</f>
        <v>Perk</v>
      </c>
      <c r="H471" t="str">
        <f>VLOOKUP(MID(A471,LEN(A471)-2,1)*1,DATA!G:H,2,FALSE)</f>
        <v>PVP</v>
      </c>
      <c r="I471" t="str">
        <f>VLOOKUP(F471,DATA!B:D,3,FALSE)</f>
        <v>类型3</v>
      </c>
    </row>
    <row r="472" spans="1:9" x14ac:dyDescent="0.15">
      <c r="A472">
        <v>50314003</v>
      </c>
      <c r="B472">
        <f>VLOOKUP(A472,'Fox1'!A:F,2,FALSE)</f>
        <v>4</v>
      </c>
      <c r="C472" t="str">
        <f>VLOOKUP(A472,'Fox1'!A:E,5,FALSE)</f>
        <v>Supply(L)</v>
      </c>
      <c r="D472" t="str">
        <f>VLOOKUP(A472,'Fox1'!A:F,6,FALSE)</f>
        <v>15% Chance Able to recover lethal equipment after killing an enemy.</v>
      </c>
      <c r="E472">
        <f t="shared" si="14"/>
        <v>5</v>
      </c>
      <c r="F472">
        <f t="shared" si="15"/>
        <v>503</v>
      </c>
      <c r="G472" t="str">
        <f>VLOOKUP(E472,DATA!A:C,3,FALSE)</f>
        <v>Perk</v>
      </c>
      <c r="H472" t="str">
        <f>VLOOKUP(MID(A472,LEN(A472)-2,1)*1,DATA!G:H,2,FALSE)</f>
        <v>PVP</v>
      </c>
      <c r="I472" t="str">
        <f>VLOOKUP(F472,DATA!B:D,3,FALSE)</f>
        <v>类型3</v>
      </c>
    </row>
    <row r="473" spans="1:9" x14ac:dyDescent="0.15">
      <c r="A473">
        <v>50314004</v>
      </c>
      <c r="B473">
        <f>VLOOKUP(A473,'Fox1'!A:F,2,FALSE)</f>
        <v>5</v>
      </c>
      <c r="C473" t="str">
        <f>VLOOKUP(A473,'Fox1'!A:E,5,FALSE)</f>
        <v>Supply(L)</v>
      </c>
      <c r="D473" t="str">
        <f>VLOOKUP(A473,'Fox1'!A:F,6,FALSE)</f>
        <v>20% Chance Able to recover lethal equipment after killing an enemy.</v>
      </c>
      <c r="E473">
        <f t="shared" si="14"/>
        <v>5</v>
      </c>
      <c r="F473">
        <f t="shared" si="15"/>
        <v>503</v>
      </c>
      <c r="G473" t="str">
        <f>VLOOKUP(E473,DATA!A:C,3,FALSE)</f>
        <v>Perk</v>
      </c>
      <c r="H473" t="str">
        <f>VLOOKUP(MID(A473,LEN(A473)-2,1)*1,DATA!G:H,2,FALSE)</f>
        <v>PVP</v>
      </c>
      <c r="I473" t="str">
        <f>VLOOKUP(F473,DATA!B:D,3,FALSE)</f>
        <v>类型3</v>
      </c>
    </row>
    <row r="474" spans="1:9" x14ac:dyDescent="0.15">
      <c r="A474">
        <v>50315002</v>
      </c>
      <c r="B474">
        <f>VLOOKUP(A474,'Fox1'!A:F,2,FALSE)</f>
        <v>1</v>
      </c>
      <c r="C474" t="str">
        <f>VLOOKUP(A474,'Fox1'!A:E,5,FALSE)</f>
        <v>Supply(T)</v>
      </c>
      <c r="D474" t="str">
        <f>VLOOKUP(A474,'Fox1'!A:F,6,FALSE)</f>
        <v>10% Chance able to recover tactical equipment after killing an enemy</v>
      </c>
      <c r="E474">
        <f t="shared" si="14"/>
        <v>5</v>
      </c>
      <c r="F474">
        <f t="shared" si="15"/>
        <v>503</v>
      </c>
      <c r="G474" t="str">
        <f>VLOOKUP(E474,DATA!A:C,3,FALSE)</f>
        <v>Perk</v>
      </c>
      <c r="H474" t="str">
        <f>VLOOKUP(MID(A474,LEN(A474)-2,1)*1,DATA!G:H,2,FALSE)</f>
        <v>PVP</v>
      </c>
      <c r="I474" t="str">
        <f>VLOOKUP(F474,DATA!B:D,3,FALSE)</f>
        <v>类型3</v>
      </c>
    </row>
    <row r="475" spans="1:9" x14ac:dyDescent="0.15">
      <c r="A475">
        <v>50315003</v>
      </c>
      <c r="B475">
        <f>VLOOKUP(A475,'Fox1'!A:F,2,FALSE)</f>
        <v>4</v>
      </c>
      <c r="C475" t="str">
        <f>VLOOKUP(A475,'Fox1'!A:E,5,FALSE)</f>
        <v>Supply(T)</v>
      </c>
      <c r="D475" t="str">
        <f>VLOOKUP(A475,'Fox1'!A:F,6,FALSE)</f>
        <v>15% Chance able to recover tactical equipment after killing an enemy</v>
      </c>
      <c r="E475">
        <f t="shared" si="14"/>
        <v>5</v>
      </c>
      <c r="F475">
        <f t="shared" si="15"/>
        <v>503</v>
      </c>
      <c r="G475" t="str">
        <f>VLOOKUP(E475,DATA!A:C,3,FALSE)</f>
        <v>Perk</v>
      </c>
      <c r="H475" t="str">
        <f>VLOOKUP(MID(A475,LEN(A475)-2,1)*1,DATA!G:H,2,FALSE)</f>
        <v>PVP</v>
      </c>
      <c r="I475" t="str">
        <f>VLOOKUP(F475,DATA!B:D,3,FALSE)</f>
        <v>类型3</v>
      </c>
    </row>
    <row r="476" spans="1:9" x14ac:dyDescent="0.15">
      <c r="A476">
        <v>50315004</v>
      </c>
      <c r="B476">
        <f>VLOOKUP(A476,'Fox1'!A:F,2,FALSE)</f>
        <v>5</v>
      </c>
      <c r="C476" t="str">
        <f>VLOOKUP(A476,'Fox1'!A:E,5,FALSE)</f>
        <v>Supply(T)</v>
      </c>
      <c r="D476" t="str">
        <f>VLOOKUP(A476,'Fox1'!A:F,6,FALSE)</f>
        <v>20% Chance able to recover tactical equipment after killing an enemy</v>
      </c>
      <c r="E476">
        <f t="shared" si="14"/>
        <v>5</v>
      </c>
      <c r="F476">
        <f t="shared" si="15"/>
        <v>503</v>
      </c>
      <c r="G476" t="str">
        <f>VLOOKUP(E476,DATA!A:C,3,FALSE)</f>
        <v>Perk</v>
      </c>
      <c r="H476" t="str">
        <f>VLOOKUP(MID(A476,LEN(A476)-2,1)*1,DATA!G:H,2,FALSE)</f>
        <v>PVP</v>
      </c>
      <c r="I476" t="str">
        <f>VLOOKUP(F476,DATA!B:D,3,FALSE)</f>
        <v>类型3</v>
      </c>
    </row>
    <row r="477" spans="1:9" x14ac:dyDescent="0.15">
      <c r="A477">
        <v>50316003</v>
      </c>
      <c r="B477">
        <f>VLOOKUP(A477,'Fox1'!A:F,2,FALSE)</f>
        <v>4</v>
      </c>
      <c r="C477" t="str">
        <f>VLOOKUP(A477,'Fox1'!A:E,5,FALSE)</f>
        <v>Engineer</v>
      </c>
      <c r="D477" t="str">
        <f>VLOOKUP(A477,'Fox1'!A:F,6,FALSE)</f>
        <v>See hostile mine through wall.</v>
      </c>
      <c r="E477">
        <f t="shared" si="14"/>
        <v>5</v>
      </c>
      <c r="F477">
        <f t="shared" si="15"/>
        <v>503</v>
      </c>
      <c r="G477" t="str">
        <f>VLOOKUP(E477,DATA!A:C,3,FALSE)</f>
        <v>Perk</v>
      </c>
      <c r="H477" t="str">
        <f>VLOOKUP(MID(A477,LEN(A477)-2,1)*1,DATA!G:H,2,FALSE)</f>
        <v>PVP</v>
      </c>
      <c r="I477" t="str">
        <f>VLOOKUP(F477,DATA!B:D,3,FALSE)</f>
        <v>类型3</v>
      </c>
    </row>
    <row r="478" spans="1:9" x14ac:dyDescent="0.15">
      <c r="A478">
        <v>50316004</v>
      </c>
      <c r="B478">
        <f>VLOOKUP(A478,'Fox1'!A:F,2,FALSE)</f>
        <v>5</v>
      </c>
      <c r="C478" t="str">
        <f>VLOOKUP(A478,'Fox1'!A:E,5,FALSE)</f>
        <v>Engineer</v>
      </c>
      <c r="D478" t="str">
        <f>VLOOKUP(A478,'Fox1'!A:F,6,FALSE)</f>
        <v>See hostile mine or deployment through wall.</v>
      </c>
      <c r="E478">
        <f t="shared" si="14"/>
        <v>5</v>
      </c>
      <c r="F478">
        <f t="shared" si="15"/>
        <v>503</v>
      </c>
      <c r="G478" t="str">
        <f>VLOOKUP(E478,DATA!A:C,3,FALSE)</f>
        <v>Perk</v>
      </c>
      <c r="H478" t="str">
        <f>VLOOKUP(MID(A478,LEN(A478)-2,1)*1,DATA!G:H,2,FALSE)</f>
        <v>PVP</v>
      </c>
      <c r="I478" t="str">
        <f>VLOOKUP(F478,DATA!B:D,3,FALSE)</f>
        <v>类型3</v>
      </c>
    </row>
    <row r="479" spans="1:9" x14ac:dyDescent="0.15">
      <c r="A479">
        <v>100101001</v>
      </c>
      <c r="B479">
        <f>VLOOKUP(A479,'Fox1'!A:F,2,FALSE)</f>
        <v>2</v>
      </c>
      <c r="C479" t="str">
        <f>VLOOKUP(A479,'Fox1'!A:E,5,FALSE)</f>
        <v>GIGN</v>
      </c>
      <c r="D479" t="str">
        <f>VLOOKUP(A479,'Fox1'!A:F,6,FALSE)</f>
        <v>A soldier of the GIGN.</v>
      </c>
      <c r="E479">
        <f t="shared" si="14"/>
        <v>10</v>
      </c>
      <c r="F479">
        <f t="shared" si="15"/>
        <v>1001</v>
      </c>
      <c r="G479" t="str">
        <f>VLOOKUP(E479,DATA!A:C,3,FALSE)</f>
        <v>角色</v>
      </c>
      <c r="H479" t="str">
        <f>VLOOKUP(MID(A479,LEN(A479)-2,1)*1,DATA!G:H,2,FALSE)</f>
        <v>PVP</v>
      </c>
      <c r="I479" t="str">
        <f>VLOOKUP(F479,DATA!B:D,3,FALSE)</f>
        <v>角色</v>
      </c>
    </row>
    <row r="480" spans="1:9" x14ac:dyDescent="0.15">
      <c r="A480">
        <v>100102001</v>
      </c>
      <c r="B480">
        <f>VLOOKUP(A480,'Fox1'!A:F,2,FALSE)</f>
        <v>3</v>
      </c>
      <c r="C480" t="str">
        <f>VLOOKUP(A480,'Fox1'!A:E,5,FALSE)</f>
        <v>FBI</v>
      </c>
      <c r="D480" t="str">
        <f>VLOOKUP(A480,'Fox1'!A:F,6,FALSE)</f>
        <v>A soldier of the FBI.</v>
      </c>
      <c r="E480">
        <f t="shared" si="14"/>
        <v>10</v>
      </c>
      <c r="F480">
        <f t="shared" si="15"/>
        <v>1001</v>
      </c>
      <c r="G480" t="str">
        <f>VLOOKUP(E480,DATA!A:C,3,FALSE)</f>
        <v>角色</v>
      </c>
      <c r="H480" t="str">
        <f>VLOOKUP(MID(A480,LEN(A480)-2,1)*1,DATA!G:H,2,FALSE)</f>
        <v>PVP</v>
      </c>
      <c r="I480" t="str">
        <f>VLOOKUP(F480,DATA!B:D,3,FALSE)</f>
        <v>角色</v>
      </c>
    </row>
    <row r="481" spans="1:9" x14ac:dyDescent="0.15">
      <c r="A481">
        <v>100103001</v>
      </c>
      <c r="B481">
        <f>VLOOKUP(A481,'Fox1'!A:F,2,FALSE)</f>
        <v>1</v>
      </c>
      <c r="C481" t="str">
        <f>VLOOKUP(A481,'Fox1'!A:E,5,FALSE)</f>
        <v>Seal6-1</v>
      </c>
      <c r="D481" t="str">
        <f>VLOOKUP(A481,'Fox1'!A:F,6,FALSE)</f>
        <v>A soldier of the SEAL Team Six.</v>
      </c>
      <c r="E481">
        <f t="shared" si="14"/>
        <v>10</v>
      </c>
      <c r="F481">
        <f t="shared" si="15"/>
        <v>1001</v>
      </c>
      <c r="G481" t="str">
        <f>VLOOKUP(E481,DATA!A:C,3,FALSE)</f>
        <v>角色</v>
      </c>
      <c r="H481" t="str">
        <f>VLOOKUP(MID(A481,LEN(A481)-2,1)*1,DATA!G:H,2,FALSE)</f>
        <v>PVP</v>
      </c>
      <c r="I481" t="str">
        <f>VLOOKUP(F481,DATA!B:D,3,FALSE)</f>
        <v>角色</v>
      </c>
    </row>
    <row r="482" spans="1:9" x14ac:dyDescent="0.15">
      <c r="A482">
        <v>100103002</v>
      </c>
      <c r="B482">
        <f>VLOOKUP(A482,'Fox1'!A:F,2,FALSE)</f>
        <v>1</v>
      </c>
      <c r="C482" t="str">
        <f>VLOOKUP(A482,'Fox1'!A:E,5,FALSE)</f>
        <v>Seal6-2</v>
      </c>
      <c r="D482" t="str">
        <f>VLOOKUP(A482,'Fox1'!A:F,6,FALSE)</f>
        <v>A soldier of the SEAL Team Six.</v>
      </c>
      <c r="E482">
        <f t="shared" si="14"/>
        <v>10</v>
      </c>
      <c r="F482">
        <f t="shared" si="15"/>
        <v>1001</v>
      </c>
      <c r="G482" t="str">
        <f>VLOOKUP(E482,DATA!A:C,3,FALSE)</f>
        <v>角色</v>
      </c>
      <c r="H482" t="str">
        <f>VLOOKUP(MID(A482,LEN(A482)-2,1)*1,DATA!G:H,2,FALSE)</f>
        <v>PVP</v>
      </c>
      <c r="I482" t="str">
        <f>VLOOKUP(F482,DATA!B:D,3,FALSE)</f>
        <v>角色</v>
      </c>
    </row>
    <row r="483" spans="1:9" x14ac:dyDescent="0.15">
      <c r="A483">
        <v>100103003</v>
      </c>
      <c r="B483">
        <f>VLOOKUP(A483,'Fox1'!A:F,2,FALSE)</f>
        <v>1</v>
      </c>
      <c r="C483" t="str">
        <f>VLOOKUP(A483,'Fox1'!A:E,5,FALSE)</f>
        <v>Seal6-3</v>
      </c>
      <c r="D483" t="str">
        <f>VLOOKUP(A483,'Fox1'!A:F,6,FALSE)</f>
        <v>A soldier of the SEAL Team Six.</v>
      </c>
      <c r="E483">
        <f t="shared" si="14"/>
        <v>10</v>
      </c>
      <c r="F483">
        <f t="shared" si="15"/>
        <v>1001</v>
      </c>
      <c r="G483" t="str">
        <f>VLOOKUP(E483,DATA!A:C,3,FALSE)</f>
        <v>角色</v>
      </c>
      <c r="H483" t="str">
        <f>VLOOKUP(MID(A483,LEN(A483)-2,1)*1,DATA!G:H,2,FALSE)</f>
        <v>PVP</v>
      </c>
      <c r="I483" t="str">
        <f>VLOOKUP(F483,DATA!B:D,3,FALSE)</f>
        <v>角色</v>
      </c>
    </row>
    <row r="484" spans="1:9" x14ac:dyDescent="0.15">
      <c r="A484">
        <v>100103004</v>
      </c>
      <c r="B484">
        <f>VLOOKUP(A484,'Fox1'!A:F,2,FALSE)</f>
        <v>1</v>
      </c>
      <c r="C484" t="str">
        <f>VLOOKUP(A484,'Fox1'!A:E,5,FALSE)</f>
        <v>Seal6-4</v>
      </c>
      <c r="D484" t="str">
        <f>VLOOKUP(A484,'Fox1'!A:F,6,FALSE)</f>
        <v>A soldier of the SEAL Team Six.</v>
      </c>
      <c r="E484">
        <f t="shared" si="14"/>
        <v>10</v>
      </c>
      <c r="F484">
        <f t="shared" si="15"/>
        <v>1001</v>
      </c>
      <c r="G484" t="str">
        <f>VLOOKUP(E484,DATA!A:C,3,FALSE)</f>
        <v>角色</v>
      </c>
      <c r="H484" t="str">
        <f>VLOOKUP(MID(A484,LEN(A484)-2,1)*1,DATA!G:H,2,FALSE)</f>
        <v>PVP</v>
      </c>
      <c r="I484" t="str">
        <f>VLOOKUP(F484,DATA!B:D,3,FALSE)</f>
        <v>角色</v>
      </c>
    </row>
    <row r="485" spans="1:9" x14ac:dyDescent="0.15">
      <c r="A485">
        <v>100103005</v>
      </c>
      <c r="B485">
        <f>VLOOKUP(A485,'Fox1'!A:F,2,FALSE)</f>
        <v>1</v>
      </c>
      <c r="C485" t="str">
        <f>VLOOKUP(A485,'Fox1'!A:E,5,FALSE)</f>
        <v>Seal6-5</v>
      </c>
      <c r="D485" t="str">
        <f>VLOOKUP(A485,'Fox1'!A:F,6,FALSE)</f>
        <v>A soldier of the SEAL Team Six.</v>
      </c>
      <c r="E485">
        <f t="shared" si="14"/>
        <v>10</v>
      </c>
      <c r="F485">
        <f t="shared" si="15"/>
        <v>1001</v>
      </c>
      <c r="G485" t="str">
        <f>VLOOKUP(E485,DATA!A:C,3,FALSE)</f>
        <v>角色</v>
      </c>
      <c r="H485" t="str">
        <f>VLOOKUP(MID(A485,LEN(A485)-2,1)*1,DATA!G:H,2,FALSE)</f>
        <v>PVP</v>
      </c>
      <c r="I485" t="str">
        <f>VLOOKUP(F485,DATA!B:D,3,FALSE)</f>
        <v>角色</v>
      </c>
    </row>
    <row r="486" spans="1:9" x14ac:dyDescent="0.15">
      <c r="A486">
        <v>100104001</v>
      </c>
      <c r="B486">
        <f>VLOOKUP(A486,'Fox1'!A:F,2,FALSE)</f>
        <v>2</v>
      </c>
      <c r="C486" t="str">
        <f>VLOOKUP(A486,'Fox1'!A:E,5,FALSE)</f>
        <v>ISA-1</v>
      </c>
      <c r="D486" t="str">
        <f>VLOOKUP(A486,'Fox1'!A:F,6,FALSE)</f>
        <v>A soldier of the ISA.</v>
      </c>
      <c r="E486">
        <f t="shared" si="14"/>
        <v>10</v>
      </c>
      <c r="F486">
        <f t="shared" si="15"/>
        <v>1001</v>
      </c>
      <c r="G486" t="str">
        <f>VLOOKUP(E486,DATA!A:C,3,FALSE)</f>
        <v>角色</v>
      </c>
      <c r="H486" t="str">
        <f>VLOOKUP(MID(A486,LEN(A486)-2,1)*1,DATA!G:H,2,FALSE)</f>
        <v>PVP</v>
      </c>
      <c r="I486" t="str">
        <f>VLOOKUP(F486,DATA!B:D,3,FALSE)</f>
        <v>角色</v>
      </c>
    </row>
    <row r="487" spans="1:9" x14ac:dyDescent="0.15">
      <c r="A487">
        <v>100104002</v>
      </c>
      <c r="B487">
        <f>VLOOKUP(A487,'Fox1'!A:F,2,FALSE)</f>
        <v>2</v>
      </c>
      <c r="C487" t="str">
        <f>VLOOKUP(A487,'Fox1'!A:E,5,FALSE)</f>
        <v>ISA-2</v>
      </c>
      <c r="D487" t="str">
        <f>VLOOKUP(A487,'Fox1'!A:F,6,FALSE)</f>
        <v>A soldier of the ISA.</v>
      </c>
      <c r="E487">
        <f t="shared" si="14"/>
        <v>10</v>
      </c>
      <c r="F487">
        <f t="shared" si="15"/>
        <v>1001</v>
      </c>
      <c r="G487" t="str">
        <f>VLOOKUP(E487,DATA!A:C,3,FALSE)</f>
        <v>角色</v>
      </c>
      <c r="H487" t="str">
        <f>VLOOKUP(MID(A487,LEN(A487)-2,1)*1,DATA!G:H,2,FALSE)</f>
        <v>PVP</v>
      </c>
      <c r="I487" t="str">
        <f>VLOOKUP(F487,DATA!B:D,3,FALSE)</f>
        <v>角色</v>
      </c>
    </row>
    <row r="488" spans="1:9" x14ac:dyDescent="0.15">
      <c r="A488">
        <v>100105001</v>
      </c>
      <c r="B488" t="e">
        <f>VLOOKUP(A488,'Fox1'!A:F,2,FALSE)</f>
        <v>#N/A</v>
      </c>
      <c r="C488" t="e">
        <f>VLOOKUP(A488,'Fox1'!A:E,5,FALSE)</f>
        <v>#N/A</v>
      </c>
      <c r="D488" t="e">
        <f>VLOOKUP(A488,'Fox1'!A:F,6,FALSE)</f>
        <v>#N/A</v>
      </c>
      <c r="E488">
        <f t="shared" si="14"/>
        <v>10</v>
      </c>
      <c r="F488">
        <f t="shared" si="15"/>
        <v>1001</v>
      </c>
      <c r="G488" t="str">
        <f>VLOOKUP(E488,DATA!A:C,3,FALSE)</f>
        <v>角色</v>
      </c>
      <c r="H488" t="str">
        <f>VLOOKUP(MID(A488,LEN(A488)-2,1)*1,DATA!G:H,2,FALSE)</f>
        <v>PVP</v>
      </c>
      <c r="I488" t="str">
        <f>VLOOKUP(F488,DATA!B:D,3,FALSE)</f>
        <v>角色</v>
      </c>
    </row>
    <row r="489" spans="1:9" x14ac:dyDescent="0.15">
      <c r="A489">
        <v>100106001</v>
      </c>
      <c r="B489">
        <f>VLOOKUP(A489,'Fox1'!A:F,2,FALSE)</f>
        <v>2</v>
      </c>
      <c r="C489" t="str">
        <f>VLOOKUP(A489,'Fox1'!A:E,5,FALSE)</f>
        <v>Yemeni Militia</v>
      </c>
      <c r="D489" t="str">
        <f>VLOOKUP(A489,'Fox1'!A:F,6,FALSE)</f>
        <v>A soldier of the Yemeni Militia.</v>
      </c>
      <c r="E489">
        <f t="shared" si="14"/>
        <v>10</v>
      </c>
      <c r="F489">
        <f t="shared" si="15"/>
        <v>1001</v>
      </c>
      <c r="G489" t="str">
        <f>VLOOKUP(E489,DATA!A:C,3,FALSE)</f>
        <v>角色</v>
      </c>
      <c r="H489" t="str">
        <f>VLOOKUP(MID(A489,LEN(A489)-2,1)*1,DATA!G:H,2,FALSE)</f>
        <v>PVP</v>
      </c>
      <c r="I489" t="str">
        <f>VLOOKUP(F489,DATA!B:D,3,FALSE)</f>
        <v>角色</v>
      </c>
    </row>
    <row r="490" spans="1:9" x14ac:dyDescent="0.15">
      <c r="A490">
        <v>100107001</v>
      </c>
      <c r="B490">
        <f>VLOOKUP(A490,'Fox1'!A:F,2,FALSE)</f>
        <v>3</v>
      </c>
      <c r="C490" t="str">
        <f>VLOOKUP(A490,'Fox1'!A:E,5,FALSE)</f>
        <v>Merc-1</v>
      </c>
      <c r="D490" t="str">
        <f>VLOOKUP(A490,'Fox1'!A:F,6,FALSE)</f>
        <v>A Mercenary soldier.</v>
      </c>
      <c r="E490">
        <f t="shared" si="14"/>
        <v>10</v>
      </c>
      <c r="F490">
        <f t="shared" si="15"/>
        <v>1001</v>
      </c>
      <c r="G490" t="str">
        <f>VLOOKUP(E490,DATA!A:C,3,FALSE)</f>
        <v>角色</v>
      </c>
      <c r="H490" t="str">
        <f>VLOOKUP(MID(A490,LEN(A490)-2,1)*1,DATA!G:H,2,FALSE)</f>
        <v>PVP</v>
      </c>
      <c r="I490" t="str">
        <f>VLOOKUP(F490,DATA!B:D,3,FALSE)</f>
        <v>角色</v>
      </c>
    </row>
    <row r="491" spans="1:9" x14ac:dyDescent="0.15">
      <c r="A491">
        <v>100107002</v>
      </c>
      <c r="B491">
        <f>VLOOKUP(A491,'Fox1'!A:F,2,FALSE)</f>
        <v>3</v>
      </c>
      <c r="C491" t="str">
        <f>VLOOKUP(A491,'Fox1'!A:E,5,FALSE)</f>
        <v>Merc-2</v>
      </c>
      <c r="D491" t="str">
        <f>VLOOKUP(A491,'Fox1'!A:F,6,FALSE)</f>
        <v>A Mercenary soldier.</v>
      </c>
      <c r="E491">
        <f t="shared" si="14"/>
        <v>10</v>
      </c>
      <c r="F491">
        <f t="shared" si="15"/>
        <v>1001</v>
      </c>
      <c r="G491" t="str">
        <f>VLOOKUP(E491,DATA!A:C,3,FALSE)</f>
        <v>角色</v>
      </c>
      <c r="H491" t="str">
        <f>VLOOKUP(MID(A491,LEN(A491)-2,1)*1,DATA!G:H,2,FALSE)</f>
        <v>PVP</v>
      </c>
      <c r="I491" t="str">
        <f>VLOOKUP(F491,DATA!B:D,3,FALSE)</f>
        <v>角色</v>
      </c>
    </row>
    <row r="492" spans="1:9" x14ac:dyDescent="0.15">
      <c r="A492">
        <v>100107003</v>
      </c>
      <c r="B492">
        <f>VLOOKUP(A492,'Fox1'!A:F,2,FALSE)</f>
        <v>3</v>
      </c>
      <c r="C492" t="str">
        <f>VLOOKUP(A492,'Fox1'!A:E,5,FALSE)</f>
        <v>Merc-3</v>
      </c>
      <c r="D492" t="str">
        <f>VLOOKUP(A492,'Fox1'!A:F,6,FALSE)</f>
        <v>A Mercenary soldier.</v>
      </c>
      <c r="E492">
        <f t="shared" si="14"/>
        <v>10</v>
      </c>
      <c r="F492">
        <f t="shared" si="15"/>
        <v>1001</v>
      </c>
      <c r="G492" t="str">
        <f>VLOOKUP(E492,DATA!A:C,3,FALSE)</f>
        <v>角色</v>
      </c>
      <c r="H492" t="str">
        <f>VLOOKUP(MID(A492,LEN(A492)-2,1)*1,DATA!G:H,2,FALSE)</f>
        <v>PVP</v>
      </c>
      <c r="I492" t="str">
        <f>VLOOKUP(F492,DATA!B:D,3,FALSE)</f>
        <v>角色</v>
      </c>
    </row>
    <row r="493" spans="1:9" x14ac:dyDescent="0.15">
      <c r="A493">
        <v>100107004</v>
      </c>
      <c r="B493">
        <f>VLOOKUP(A493,'Fox1'!A:F,2,FALSE)</f>
        <v>3</v>
      </c>
      <c r="C493" t="str">
        <f>VLOOKUP(A493,'Fox1'!A:E,5,FALSE)</f>
        <v>Merc-4</v>
      </c>
      <c r="D493" t="str">
        <f>VLOOKUP(A493,'Fox1'!A:F,6,FALSE)</f>
        <v>A Mercenary soldier.</v>
      </c>
      <c r="E493">
        <f t="shared" si="14"/>
        <v>10</v>
      </c>
      <c r="F493">
        <f t="shared" si="15"/>
        <v>1001</v>
      </c>
      <c r="G493" t="str">
        <f>VLOOKUP(E493,DATA!A:C,3,FALSE)</f>
        <v>角色</v>
      </c>
      <c r="H493" t="str">
        <f>VLOOKUP(MID(A493,LEN(A493)-2,1)*1,DATA!G:H,2,FALSE)</f>
        <v>PVP</v>
      </c>
      <c r="I493" t="str">
        <f>VLOOKUP(F493,DATA!B:D,3,FALSE)</f>
        <v>角色</v>
      </c>
    </row>
    <row r="494" spans="1:9" x14ac:dyDescent="0.15">
      <c r="A494">
        <v>100107005</v>
      </c>
      <c r="B494">
        <f>VLOOKUP(A494,'Fox1'!A:F,2,FALSE)</f>
        <v>1</v>
      </c>
      <c r="C494" t="str">
        <f>VLOOKUP(A494,'Fox1'!A:E,5,FALSE)</f>
        <v>Merc-5</v>
      </c>
      <c r="D494" t="str">
        <f>VLOOKUP(A494,'Fox1'!A:F,6,FALSE)</f>
        <v>A Mercenary soldier.</v>
      </c>
      <c r="E494">
        <f t="shared" si="14"/>
        <v>10</v>
      </c>
      <c r="F494">
        <f t="shared" si="15"/>
        <v>1001</v>
      </c>
      <c r="G494" t="str">
        <f>VLOOKUP(E494,DATA!A:C,3,FALSE)</f>
        <v>角色</v>
      </c>
      <c r="H494" t="str">
        <f>VLOOKUP(MID(A494,LEN(A494)-2,1)*1,DATA!G:H,2,FALSE)</f>
        <v>PVP</v>
      </c>
      <c r="I494" t="str">
        <f>VLOOKUP(F494,DATA!B:D,3,FALSE)</f>
        <v>角色</v>
      </c>
    </row>
    <row r="495" spans="1:9" x14ac:dyDescent="0.15">
      <c r="A495">
        <v>100108001</v>
      </c>
      <c r="B495">
        <f>VLOOKUP(A495,'Fox1'!A:F,2,FALSE)</f>
        <v>4</v>
      </c>
      <c r="C495" t="str">
        <f>VLOOKUP(A495,'Fox1'!A:E,5,FALSE)</f>
        <v>Captain</v>
      </c>
      <c r="D495" t="str">
        <f>VLOOKUP(A495,'Fox1'!A:F,6,FALSE)</f>
        <v>Your captain.</v>
      </c>
      <c r="E495">
        <f t="shared" si="14"/>
        <v>10</v>
      </c>
      <c r="F495">
        <f t="shared" si="15"/>
        <v>1001</v>
      </c>
      <c r="G495" t="str">
        <f>VLOOKUP(E495,DATA!A:C,3,FALSE)</f>
        <v>角色</v>
      </c>
      <c r="H495" t="str">
        <f>VLOOKUP(MID(A495,LEN(A495)-2,1)*1,DATA!G:H,2,FALSE)</f>
        <v>PVP</v>
      </c>
      <c r="I495" t="str">
        <f>VLOOKUP(F495,DATA!B:D,3,FALSE)</f>
        <v>角色</v>
      </c>
    </row>
    <row r="496" spans="1:9" x14ac:dyDescent="0.15">
      <c r="A496">
        <v>100201001</v>
      </c>
      <c r="B496">
        <f>VLOOKUP(A496,'Fox1'!A:F,2,FALSE)</f>
        <v>5</v>
      </c>
      <c r="C496" t="str">
        <f>VLOOKUP(A496,'Fox1'!A:E,5,FALSE)</f>
        <v>Alex Mason</v>
      </c>
      <c r="D496" t="str">
        <f>VLOOKUP(A496,'Fox1'!A:F,6,FALSE)</f>
        <v>"Where am I? Where's Reznov?"</v>
      </c>
      <c r="E496">
        <f t="shared" si="14"/>
        <v>10</v>
      </c>
      <c r="F496">
        <f t="shared" si="15"/>
        <v>1002</v>
      </c>
      <c r="G496" t="str">
        <f>VLOOKUP(E496,DATA!A:C,3,FALSE)</f>
        <v>角色</v>
      </c>
      <c r="H496" t="str">
        <f>VLOOKUP(MID(A496,LEN(A496)-2,1)*1,DATA!G:H,2,FALSE)</f>
        <v>PVP</v>
      </c>
      <c r="I496" t="str">
        <f>VLOOKUP(F496,DATA!B:D,3,FALSE)</f>
        <v>角色</v>
      </c>
    </row>
    <row r="497" spans="1:9" x14ac:dyDescent="0.15">
      <c r="A497">
        <v>100201002</v>
      </c>
      <c r="B497">
        <f>VLOOKUP(A497,'Fox1'!A:F,2,FALSE)</f>
        <v>5</v>
      </c>
      <c r="C497" t="str">
        <f>VLOOKUP(A497,'Fox1'!A:E,5,FALSE)</f>
        <v>David Mason</v>
      </c>
      <c r="D497" t="str">
        <f>VLOOKUP(A497,'Fox1'!A:F,6,FALSE)</f>
        <v>"These flashes I'm getting...I know I was kidnapped the night my father died, but I could never see..."</v>
      </c>
      <c r="E497">
        <f t="shared" si="14"/>
        <v>10</v>
      </c>
      <c r="F497">
        <f t="shared" si="15"/>
        <v>1002</v>
      </c>
      <c r="G497" t="str">
        <f>VLOOKUP(E497,DATA!A:C,3,FALSE)</f>
        <v>角色</v>
      </c>
      <c r="H497" t="str">
        <f>VLOOKUP(MID(A497,LEN(A497)-2,1)*1,DATA!G:H,2,FALSE)</f>
        <v>PVP</v>
      </c>
      <c r="I497" t="str">
        <f>VLOOKUP(F497,DATA!B:D,3,FALSE)</f>
        <v>角色</v>
      </c>
    </row>
    <row r="498" spans="1:9" x14ac:dyDescent="0.15">
      <c r="A498">
        <v>100201003</v>
      </c>
      <c r="B498">
        <f>VLOOKUP(A498,'Fox1'!A:F,2,FALSE)</f>
        <v>5</v>
      </c>
      <c r="C498" t="str">
        <f>VLOOKUP(A498,'Fox1'!A:E,5,FALSE)</f>
        <v>Frank Woods</v>
      </c>
      <c r="D498" t="str">
        <f>VLOOKUP(A498,'Fox1'!A:F,6,FALSE)</f>
        <v>"YOU CAN'T KILL ME!"</v>
      </c>
      <c r="E498">
        <f t="shared" si="14"/>
        <v>10</v>
      </c>
      <c r="F498">
        <f t="shared" si="15"/>
        <v>1002</v>
      </c>
      <c r="G498" t="str">
        <f>VLOOKUP(E498,DATA!A:C,3,FALSE)</f>
        <v>角色</v>
      </c>
      <c r="H498" t="str">
        <f>VLOOKUP(MID(A498,LEN(A498)-2,1)*1,DATA!G:H,2,FALSE)</f>
        <v>PVP</v>
      </c>
      <c r="I498" t="str">
        <f>VLOOKUP(F498,DATA!B:D,3,FALSE)</f>
        <v>角色</v>
      </c>
    </row>
    <row r="499" spans="1:9" x14ac:dyDescent="0.15">
      <c r="A499">
        <v>100201004</v>
      </c>
      <c r="B499">
        <f>VLOOKUP(A499,'Fox1'!A:F,2,FALSE)</f>
        <v>5</v>
      </c>
      <c r="C499" t="str">
        <f>VLOOKUP(A499,'Fox1'!A:E,5,FALSE)</f>
        <v>Mike Harper</v>
      </c>
      <c r="D499" t="str">
        <f>VLOOKUP(A499,'Fox1'!A:F,6,FALSE)</f>
        <v>"I'm Mike Harper, a Navy SEAL."</v>
      </c>
      <c r="E499">
        <f t="shared" si="14"/>
        <v>10</v>
      </c>
      <c r="F499">
        <f t="shared" si="15"/>
        <v>1002</v>
      </c>
      <c r="G499" t="str">
        <f>VLOOKUP(E499,DATA!A:C,3,FALSE)</f>
        <v>角色</v>
      </c>
      <c r="H499" t="str">
        <f>VLOOKUP(MID(A499,LEN(A499)-2,1)*1,DATA!G:H,2,FALSE)</f>
        <v>PVP</v>
      </c>
      <c r="I499" t="str">
        <f>VLOOKUP(F499,DATA!B:D,3,FALSE)</f>
        <v>角色</v>
      </c>
    </row>
    <row r="500" spans="1:9" x14ac:dyDescent="0.15">
      <c r="A500">
        <v>100201005</v>
      </c>
      <c r="B500" t="e">
        <f>VLOOKUP(A500,'Fox1'!A:F,2,FALSE)</f>
        <v>#N/A</v>
      </c>
      <c r="C500" t="e">
        <f>VLOOKUP(A500,'Fox1'!A:E,5,FALSE)</f>
        <v>#N/A</v>
      </c>
      <c r="D500" t="e">
        <f>VLOOKUP(A500,'Fox1'!A:F,6,FALSE)</f>
        <v>#N/A</v>
      </c>
      <c r="E500">
        <f t="shared" si="14"/>
        <v>10</v>
      </c>
      <c r="F500">
        <f t="shared" si="15"/>
        <v>1002</v>
      </c>
      <c r="G500" t="str">
        <f>VLOOKUP(E500,DATA!A:C,3,FALSE)</f>
        <v>角色</v>
      </c>
      <c r="H500" t="str">
        <f>VLOOKUP(MID(A500,LEN(A500)-2,1)*1,DATA!G:H,2,FALSE)</f>
        <v>PVP</v>
      </c>
      <c r="I500" t="str">
        <f>VLOOKUP(F500,DATA!B:D,3,FALSE)</f>
        <v>角色</v>
      </c>
    </row>
    <row r="501" spans="1:9" x14ac:dyDescent="0.15">
      <c r="A501">
        <v>100201006</v>
      </c>
      <c r="B501" t="e">
        <f>VLOOKUP(A501,'Fox1'!A:F,2,FALSE)</f>
        <v>#N/A</v>
      </c>
      <c r="C501" t="e">
        <f>VLOOKUP(A501,'Fox1'!A:E,5,FALSE)</f>
        <v>#N/A</v>
      </c>
      <c r="D501" t="e">
        <f>VLOOKUP(A501,'Fox1'!A:F,6,FALSE)</f>
        <v>#N/A</v>
      </c>
      <c r="E501">
        <f t="shared" si="14"/>
        <v>10</v>
      </c>
      <c r="F501">
        <f t="shared" si="15"/>
        <v>1002</v>
      </c>
      <c r="G501" t="str">
        <f>VLOOKUP(E501,DATA!A:C,3,FALSE)</f>
        <v>角色</v>
      </c>
      <c r="H501" t="str">
        <f>VLOOKUP(MID(A501,LEN(A501)-2,1)*1,DATA!G:H,2,FALSE)</f>
        <v>PVP</v>
      </c>
      <c r="I501" t="str">
        <f>VLOOKUP(F501,DATA!B:D,3,FALSE)</f>
        <v>角色</v>
      </c>
    </row>
    <row r="502" spans="1:9" x14ac:dyDescent="0.15">
      <c r="A502">
        <v>100201007</v>
      </c>
      <c r="B502" t="e">
        <f>VLOOKUP(A502,'Fox1'!A:F,2,FALSE)</f>
        <v>#N/A</v>
      </c>
      <c r="C502" t="e">
        <f>VLOOKUP(A502,'Fox1'!A:E,5,FALSE)</f>
        <v>#N/A</v>
      </c>
      <c r="D502" t="e">
        <f>VLOOKUP(A502,'Fox1'!A:F,6,FALSE)</f>
        <v>#N/A</v>
      </c>
      <c r="E502">
        <f t="shared" si="14"/>
        <v>10</v>
      </c>
      <c r="F502">
        <f t="shared" si="15"/>
        <v>1002</v>
      </c>
      <c r="G502" t="str">
        <f>VLOOKUP(E502,DATA!A:C,3,FALSE)</f>
        <v>角色</v>
      </c>
      <c r="H502" t="str">
        <f>VLOOKUP(MID(A502,LEN(A502)-2,1)*1,DATA!G:H,2,FALSE)</f>
        <v>PVP</v>
      </c>
      <c r="I502" t="str">
        <f>VLOOKUP(F502,DATA!B:D,3,FALSE)</f>
        <v>角色</v>
      </c>
    </row>
    <row r="503" spans="1:9" x14ac:dyDescent="0.15">
      <c r="A503">
        <v>100201008</v>
      </c>
      <c r="B503">
        <f>VLOOKUP(A503,'Fox1'!A:F,2,FALSE)</f>
        <v>4</v>
      </c>
      <c r="C503" t="str">
        <f>VLOOKUP(A503,'Fox1'!A:E,5,FALSE)</f>
        <v>Tian Zhao</v>
      </c>
      <c r="D503" t="str">
        <f>VLOOKUP(A503,'Fox1'!A:F,6,FALSE)</f>
        <v>"I'll take you to the leader of the Mujahideen."</v>
      </c>
      <c r="E503">
        <f t="shared" si="14"/>
        <v>10</v>
      </c>
      <c r="F503">
        <f t="shared" si="15"/>
        <v>1002</v>
      </c>
      <c r="G503" t="str">
        <f>VLOOKUP(E503,DATA!A:C,3,FALSE)</f>
        <v>角色</v>
      </c>
      <c r="H503" t="str">
        <f>VLOOKUP(MID(A503,LEN(A503)-2,1)*1,DATA!G:H,2,FALSE)</f>
        <v>PVP</v>
      </c>
      <c r="I503" t="str">
        <f>VLOOKUP(F503,DATA!B:D,3,FALSE)</f>
        <v>角色</v>
      </c>
    </row>
    <row r="504" spans="1:9" x14ac:dyDescent="0.15">
      <c r="A504">
        <v>100201009</v>
      </c>
      <c r="B504">
        <f>VLOOKUP(A504,'Fox1'!A:F,2,FALSE)</f>
        <v>3</v>
      </c>
      <c r="C504" t="str">
        <f>VLOOKUP(A504,'Fox1'!A:E,5,FALSE)</f>
        <v>Bruce Harris</v>
      </c>
      <c r="D504" t="str">
        <f>VLOOKUP(A504,'Fox1'!A:F,6,FALSE)</f>
        <v>A CIA operations officer.</v>
      </c>
      <c r="E504">
        <f t="shared" si="14"/>
        <v>10</v>
      </c>
      <c r="F504">
        <f t="shared" si="15"/>
        <v>1002</v>
      </c>
      <c r="G504" t="str">
        <f>VLOOKUP(E504,DATA!A:C,3,FALSE)</f>
        <v>角色</v>
      </c>
      <c r="H504" t="str">
        <f>VLOOKUP(MID(A504,LEN(A504)-2,1)*1,DATA!G:H,2,FALSE)</f>
        <v>PVP</v>
      </c>
      <c r="I504" t="str">
        <f>VLOOKUP(F504,DATA!B:D,3,FALSE)</f>
        <v>角色</v>
      </c>
    </row>
    <row r="505" spans="1:9" x14ac:dyDescent="0.15">
      <c r="A505">
        <v>100201010</v>
      </c>
      <c r="B505">
        <f>VLOOKUP(A505,'Fox1'!A:F,2,FALSE)</f>
        <v>4</v>
      </c>
      <c r="C505" t="str">
        <f>VLOOKUP(A505,'Fox1'!A:E,5,FALSE)</f>
        <v>Maestas</v>
      </c>
      <c r="D505" t="str">
        <f>VLOOKUP(A505,'Fox1'!A:F,6,FALSE)</f>
        <v>Sgt. Maestas is a CIA agent/US Marine.</v>
      </c>
      <c r="E505">
        <f t="shared" si="14"/>
        <v>10</v>
      </c>
      <c r="F505">
        <f t="shared" si="15"/>
        <v>1002</v>
      </c>
      <c r="G505" t="str">
        <f>VLOOKUP(E505,DATA!A:C,3,FALSE)</f>
        <v>角色</v>
      </c>
      <c r="H505" t="str">
        <f>VLOOKUP(MID(A505,LEN(A505)-2,1)*1,DATA!G:H,2,FALSE)</f>
        <v>PVP</v>
      </c>
      <c r="I505" t="str">
        <f>VLOOKUP(F505,DATA!B:D,3,FALSE)</f>
        <v>角色</v>
      </c>
    </row>
    <row r="506" spans="1:9" x14ac:dyDescent="0.15">
      <c r="A506">
        <v>100201011</v>
      </c>
      <c r="B506">
        <f>VLOOKUP(A506,'Fox1'!A:F,2,FALSE)</f>
        <v>4</v>
      </c>
      <c r="C506" t="str">
        <f>VLOOKUP(A506,'Fox1'!A:E,5,FALSE)</f>
        <v>Dimitri Petrenko</v>
      </c>
      <c r="D506" t="str">
        <f>VLOOKUP(A506,'Fox1'!A:F,6,FALSE)</f>
        <v>"After this mission, do you think we will go home?"</v>
      </c>
      <c r="E506">
        <f t="shared" si="14"/>
        <v>10</v>
      </c>
      <c r="F506">
        <f t="shared" si="15"/>
        <v>1002</v>
      </c>
      <c r="G506" t="str">
        <f>VLOOKUP(E506,DATA!A:C,3,FALSE)</f>
        <v>角色</v>
      </c>
      <c r="H506" t="str">
        <f>VLOOKUP(MID(A506,LEN(A506)-2,1)*1,DATA!G:H,2,FALSE)</f>
        <v>PVP</v>
      </c>
      <c r="I506" t="str">
        <f>VLOOKUP(F506,DATA!B:D,3,FALSE)</f>
        <v>角色</v>
      </c>
    </row>
    <row r="507" spans="1:9" x14ac:dyDescent="0.15">
      <c r="A507">
        <v>100202001</v>
      </c>
      <c r="B507">
        <f>VLOOKUP(A507,'Fox1'!A:F,2,FALSE)</f>
        <v>4</v>
      </c>
      <c r="C507" t="str">
        <f>VLOOKUP(A507,'Fox1'!A:E,5,FALSE)</f>
        <v>Nikolai</v>
      </c>
      <c r="D507" t="str">
        <f>VLOOKUP(A507,'Fox1'!A:F,6,FALSE)</f>
        <v>"Da - I know a place."</v>
      </c>
      <c r="E507">
        <f t="shared" si="14"/>
        <v>10</v>
      </c>
      <c r="F507">
        <f t="shared" si="15"/>
        <v>1002</v>
      </c>
      <c r="G507" t="str">
        <f>VLOOKUP(E507,DATA!A:C,3,FALSE)</f>
        <v>角色</v>
      </c>
      <c r="H507" t="str">
        <f>VLOOKUP(MID(A507,LEN(A507)-2,1)*1,DATA!G:H,2,FALSE)</f>
        <v>PVP</v>
      </c>
      <c r="I507" t="str">
        <f>VLOOKUP(F507,DATA!B:D,3,FALSE)</f>
        <v>角色</v>
      </c>
    </row>
    <row r="508" spans="1:9" x14ac:dyDescent="0.15">
      <c r="A508">
        <v>100202002</v>
      </c>
      <c r="B508">
        <f>VLOOKUP(A508,'Fox1'!A:F,2,FALSE)</f>
        <v>4</v>
      </c>
      <c r="C508" t="str">
        <f>VLOOKUP(A508,'Fox1'!A:E,5,FALSE)</f>
        <v>Gaz</v>
      </c>
      <c r="D508" t="str">
        <f>VLOOKUP(A508,'Fox1'!A:F,6,FALSE)</f>
        <v>"I like to keep this for close-encounters."</v>
      </c>
      <c r="E508">
        <f t="shared" si="14"/>
        <v>10</v>
      </c>
      <c r="F508">
        <f t="shared" si="15"/>
        <v>1002</v>
      </c>
      <c r="G508" t="str">
        <f>VLOOKUP(E508,DATA!A:C,3,FALSE)</f>
        <v>角色</v>
      </c>
      <c r="H508" t="str">
        <f>VLOOKUP(MID(A508,LEN(A508)-2,1)*1,DATA!G:H,2,FALSE)</f>
        <v>PVP</v>
      </c>
      <c r="I508" t="str">
        <f>VLOOKUP(F508,DATA!B:D,3,FALSE)</f>
        <v>角色</v>
      </c>
    </row>
    <row r="509" spans="1:9" x14ac:dyDescent="0.15">
      <c r="A509">
        <v>100202003</v>
      </c>
      <c r="B509">
        <f>VLOOKUP(A509,'Fox1'!A:F,2,FALSE)</f>
        <v>4</v>
      </c>
      <c r="C509" t="str">
        <f>VLOOKUP(A509,'Fox1'!A:E,5,FALSE)</f>
        <v>Khaled</v>
      </c>
      <c r="D509" t="str">
        <f>VLOOKUP(A509,'Fox1'!A:F,6,FALSE)</f>
        <v>"This, is how it begins."</v>
      </c>
      <c r="E509">
        <f t="shared" si="14"/>
        <v>10</v>
      </c>
      <c r="F509">
        <f t="shared" si="15"/>
        <v>1002</v>
      </c>
      <c r="G509" t="str">
        <f>VLOOKUP(E509,DATA!A:C,3,FALSE)</f>
        <v>角色</v>
      </c>
      <c r="H509" t="str">
        <f>VLOOKUP(MID(A509,LEN(A509)-2,1)*1,DATA!G:H,2,FALSE)</f>
        <v>PVP</v>
      </c>
      <c r="I509" t="str">
        <f>VLOOKUP(F509,DATA!B:D,3,FALSE)</f>
        <v>角色</v>
      </c>
    </row>
    <row r="510" spans="1:9" x14ac:dyDescent="0.15">
      <c r="A510">
        <v>110100001</v>
      </c>
      <c r="B510">
        <f>VLOOKUP(A510,'Fox1'!A:F,2,FALSE)</f>
        <v>3</v>
      </c>
      <c r="C510" t="str">
        <f>VLOOKUP(A510,'Fox1'!A:E,5,FALSE)</f>
        <v>Relentless</v>
      </c>
      <c r="D510" t="str">
        <f>VLOOKUP(A510,'Fox1'!A:F,6,FALSE)</f>
        <v>Increase 20% move speed for 4 seconds when you reborn.</v>
      </c>
      <c r="E510">
        <f t="shared" si="14"/>
        <v>11</v>
      </c>
      <c r="F510">
        <f t="shared" si="15"/>
        <v>1101</v>
      </c>
      <c r="G510" t="str">
        <f>VLOOKUP(E510,DATA!A:C,3,FALSE)</f>
        <v>枪械技能</v>
      </c>
      <c r="H510" t="str">
        <f>VLOOKUP(MID(A510,LEN(A510)-2,1)*1,DATA!G:H,2,FALSE)</f>
        <v>PVP</v>
      </c>
      <c r="I510" t="str">
        <f>VLOOKUP(F510,DATA!B:D,3,FALSE)</f>
        <v>枪械技能</v>
      </c>
    </row>
    <row r="511" spans="1:9" x14ac:dyDescent="0.15">
      <c r="A511">
        <v>110100002</v>
      </c>
      <c r="B511">
        <f>VLOOKUP(A511,'Fox1'!A:F,2,FALSE)</f>
        <v>3</v>
      </c>
      <c r="C511" t="str">
        <f>VLOOKUP(A511,'Fox1'!A:E,5,FALSE)</f>
        <v>Refresher</v>
      </c>
      <c r="D511" t="str">
        <f>VLOOKUP(A511,'Fox1'!A:F,6,FALSE)</f>
        <v>Increase weapon reload speed by 40% if weapon made a kill.</v>
      </c>
      <c r="E511">
        <f t="shared" si="14"/>
        <v>11</v>
      </c>
      <c r="F511">
        <f t="shared" si="15"/>
        <v>1101</v>
      </c>
      <c r="G511" t="str">
        <f>VLOOKUP(E511,DATA!A:C,3,FALSE)</f>
        <v>枪械技能</v>
      </c>
      <c r="H511" t="str">
        <f>VLOOKUP(MID(A511,LEN(A511)-2,1)*1,DATA!G:H,2,FALSE)</f>
        <v>PVP</v>
      </c>
      <c r="I511" t="str">
        <f>VLOOKUP(F511,DATA!B:D,3,FALSE)</f>
        <v>枪械技能</v>
      </c>
    </row>
    <row r="512" spans="1:9" x14ac:dyDescent="0.15">
      <c r="A512">
        <v>110100003</v>
      </c>
      <c r="B512">
        <f>VLOOKUP(A512,'Fox1'!A:F,2,FALSE)</f>
        <v>3</v>
      </c>
      <c r="C512" t="str">
        <f>VLOOKUP(A512,'Fox1'!A:E,5,FALSE)</f>
        <v>DeathBringer</v>
      </c>
      <c r="D512" t="str">
        <f>VLOOKUP(A512,'Fox1'!A:F,6,FALSE)</f>
        <v xml:space="preserve">Double kills your magazine will be filled instantly </v>
      </c>
      <c r="E512">
        <f t="shared" si="14"/>
        <v>11</v>
      </c>
      <c r="F512">
        <f t="shared" si="15"/>
        <v>1101</v>
      </c>
      <c r="G512" t="str">
        <f>VLOOKUP(E512,DATA!A:C,3,FALSE)</f>
        <v>枪械技能</v>
      </c>
      <c r="H512" t="str">
        <f>VLOOKUP(MID(A512,LEN(A512)-2,1)*1,DATA!G:H,2,FALSE)</f>
        <v>PVP</v>
      </c>
      <c r="I512" t="str">
        <f>VLOOKUP(F512,DATA!B:D,3,FALSE)</f>
        <v>枪械技能</v>
      </c>
    </row>
    <row r="513" spans="1:9" x14ac:dyDescent="0.15">
      <c r="A513">
        <v>110100004</v>
      </c>
      <c r="B513">
        <f>VLOOKUP(A513,'Fox1'!A:F,2,FALSE)</f>
        <v>3</v>
      </c>
      <c r="C513" t="str">
        <f>VLOOKUP(A513,'Fox1'!A:E,5,FALSE)</f>
        <v>Kickback</v>
      </c>
      <c r="D513" t="str">
        <f>VLOOKUP(A513,'Fox1'!A:F,6,FALSE)</f>
        <v>50% chance to add one bullets into your clip if weapon made a kill</v>
      </c>
      <c r="E513">
        <f t="shared" si="14"/>
        <v>11</v>
      </c>
      <c r="F513">
        <f t="shared" si="15"/>
        <v>1101</v>
      </c>
      <c r="G513" t="str">
        <f>VLOOKUP(E513,DATA!A:C,3,FALSE)</f>
        <v>枪械技能</v>
      </c>
      <c r="H513" t="str">
        <f>VLOOKUP(MID(A513,LEN(A513)-2,1)*1,DATA!G:H,2,FALSE)</f>
        <v>PVP</v>
      </c>
      <c r="I513" t="str">
        <f>VLOOKUP(F513,DATA!B:D,3,FALSE)</f>
        <v>枪械技能</v>
      </c>
    </row>
    <row r="514" spans="1:9" x14ac:dyDescent="0.15">
      <c r="A514">
        <v>110100005</v>
      </c>
      <c r="B514">
        <f>VLOOKUP(A514,'Fox1'!A:F,2,FALSE)</f>
        <v>3</v>
      </c>
      <c r="C514" t="str">
        <f>VLOOKUP(A514,'Fox1'!A:E,5,FALSE)</f>
        <v>Tag</v>
      </c>
      <c r="D514" t="str">
        <f>VLOOKUP(A514,'Fox1'!A:F,6,FALSE)</f>
        <v>Outline enemies 0.5 second when dealing or taking weapon damage</v>
      </c>
      <c r="E514">
        <f t="shared" ref="E514:E576" si="16">LEFT(A514,LEN(A514)-7)*1</f>
        <v>11</v>
      </c>
      <c r="F514">
        <f t="shared" ref="F514:F576" si="17">LEFT(A514,LEN(A514)-5)*1</f>
        <v>1101</v>
      </c>
      <c r="G514" t="str">
        <f>VLOOKUP(E514,DATA!A:C,3,FALSE)</f>
        <v>枪械技能</v>
      </c>
      <c r="H514" t="str">
        <f>VLOOKUP(MID(A514,LEN(A514)-2,1)*1,DATA!G:H,2,FALSE)</f>
        <v>PVP</v>
      </c>
      <c r="I514" t="str">
        <f>VLOOKUP(F514,DATA!B:D,3,FALSE)</f>
        <v>枪械技能</v>
      </c>
    </row>
    <row r="515" spans="1:9" x14ac:dyDescent="0.15">
      <c r="A515">
        <v>110100006</v>
      </c>
      <c r="B515">
        <f>VLOOKUP(A515,'Fox1'!A:F,2,FALSE)</f>
        <v>3</v>
      </c>
      <c r="C515" t="str">
        <f>VLOOKUP(A515,'Fox1'!A:E,5,FALSE)</f>
        <v>Stability</v>
      </c>
      <c r="D515" t="str">
        <f>VLOOKUP(A515,'Fox1'!A:F,6,FALSE)</f>
        <v>Reduce weapon sway when aiming</v>
      </c>
      <c r="E515">
        <f t="shared" si="16"/>
        <v>11</v>
      </c>
      <c r="F515">
        <f t="shared" si="17"/>
        <v>1101</v>
      </c>
      <c r="G515" t="str">
        <f>VLOOKUP(E515,DATA!A:C,3,FALSE)</f>
        <v>枪械技能</v>
      </c>
      <c r="H515" t="str">
        <f>VLOOKUP(MID(A515,LEN(A515)-2,1)*1,DATA!G:H,2,FALSE)</f>
        <v>PVP</v>
      </c>
      <c r="I515" t="str">
        <f>VLOOKUP(F515,DATA!B:D,3,FALSE)</f>
        <v>枪械技能</v>
      </c>
    </row>
    <row r="516" spans="1:9" x14ac:dyDescent="0.15">
      <c r="A516">
        <v>110100007</v>
      </c>
      <c r="B516">
        <f>VLOOKUP(A516,'Fox1'!A:F,2,FALSE)</f>
        <v>3</v>
      </c>
      <c r="C516" t="str">
        <f>VLOOKUP(A516,'Fox1'!A:E,5,FALSE)</f>
        <v>MunitionStash</v>
      </c>
      <c r="D516" t="str">
        <f>VLOOKUP(A516,'Fox1'!A:F,6,FALSE)</f>
        <v>50% chance to resupply one lethal grenade when you made a double kills</v>
      </c>
      <c r="E516">
        <f t="shared" si="16"/>
        <v>11</v>
      </c>
      <c r="F516">
        <f t="shared" si="17"/>
        <v>1101</v>
      </c>
      <c r="G516" t="str">
        <f>VLOOKUP(E516,DATA!A:C,3,FALSE)</f>
        <v>枪械技能</v>
      </c>
      <c r="H516" t="str">
        <f>VLOOKUP(MID(A516,LEN(A516)-2,1)*1,DATA!G:H,2,FALSE)</f>
        <v>PVP</v>
      </c>
      <c r="I516" t="str">
        <f>VLOOKUP(F516,DATA!B:D,3,FALSE)</f>
        <v>枪械技能</v>
      </c>
    </row>
    <row r="517" spans="1:9" x14ac:dyDescent="0.15">
      <c r="A517">
        <v>110100008</v>
      </c>
      <c r="B517">
        <f>VLOOKUP(A517,'Fox1'!A:F,2,FALSE)</f>
        <v>3</v>
      </c>
      <c r="C517" t="str">
        <f>VLOOKUP(A517,'Fox1'!A:E,5,FALSE)</f>
        <v>Burst</v>
      </c>
      <c r="D517" t="str">
        <f>VLOOKUP(A517,'Fox1'!A:F,6,FALSE)</f>
        <v>Increase 15% move speed for 2.5 seconds when you made a kill</v>
      </c>
      <c r="E517">
        <f t="shared" si="16"/>
        <v>11</v>
      </c>
      <c r="F517">
        <f t="shared" si="17"/>
        <v>1101</v>
      </c>
      <c r="G517" t="str">
        <f>VLOOKUP(E517,DATA!A:C,3,FALSE)</f>
        <v>枪械技能</v>
      </c>
      <c r="H517" t="str">
        <f>VLOOKUP(MID(A517,LEN(A517)-2,1)*1,DATA!G:H,2,FALSE)</f>
        <v>PVP</v>
      </c>
      <c r="I517" t="str">
        <f>VLOOKUP(F517,DATA!B:D,3,FALSE)</f>
        <v>枪械技能</v>
      </c>
    </row>
    <row r="518" spans="1:9" x14ac:dyDescent="0.15">
      <c r="A518">
        <v>110100009</v>
      </c>
      <c r="B518">
        <f>VLOOKUP(A518,'Fox1'!A:F,2,FALSE)</f>
        <v>3</v>
      </c>
      <c r="C518" t="str">
        <f>VLOOKUP(A518,'Fox1'!A:E,5,FALSE)</f>
        <v>DeepWound</v>
      </c>
      <c r="D518" t="str">
        <f>VLOOKUP(A518,'Fox1'!A:F,6,FALSE)</f>
        <v>The enemies are hit can't recover within 8 seconds</v>
      </c>
      <c r="E518">
        <f t="shared" si="16"/>
        <v>11</v>
      </c>
      <c r="F518">
        <f t="shared" si="17"/>
        <v>1101</v>
      </c>
      <c r="G518" t="str">
        <f>VLOOKUP(E518,DATA!A:C,3,FALSE)</f>
        <v>枪械技能</v>
      </c>
      <c r="H518" t="str">
        <f>VLOOKUP(MID(A518,LEN(A518)-2,1)*1,DATA!G:H,2,FALSE)</f>
        <v>PVP</v>
      </c>
      <c r="I518" t="str">
        <f>VLOOKUP(F518,DATA!B:D,3,FALSE)</f>
        <v>枪械技能</v>
      </c>
    </row>
    <row r="519" spans="1:9" x14ac:dyDescent="0.15">
      <c r="A519">
        <v>110100010</v>
      </c>
      <c r="B519">
        <f>VLOOKUP(A519,'Fox1'!A:F,2,FALSE)</f>
        <v>4</v>
      </c>
      <c r="C519" t="str">
        <f>VLOOKUP(A519,'Fox1'!A:E,5,FALSE)</f>
        <v>Burst</v>
      </c>
      <c r="D519" t="str">
        <f>VLOOKUP(A519,'Fox1'!A:F,6,FALSE)</f>
        <v>Increase 15% move speed for 4 seconds when you made a kill</v>
      </c>
      <c r="E519">
        <f t="shared" si="16"/>
        <v>11</v>
      </c>
      <c r="F519">
        <f t="shared" si="17"/>
        <v>1101</v>
      </c>
      <c r="G519" t="str">
        <f>VLOOKUP(E519,DATA!A:C,3,FALSE)</f>
        <v>枪械技能</v>
      </c>
      <c r="H519" t="str">
        <f>VLOOKUP(MID(A519,LEN(A519)-2,1)*1,DATA!G:H,2,FALSE)</f>
        <v>PVP</v>
      </c>
      <c r="I519" t="str">
        <f>VLOOKUP(F519,DATA!B:D,3,FALSE)</f>
        <v>枪械技能</v>
      </c>
    </row>
    <row r="520" spans="1:9" x14ac:dyDescent="0.15">
      <c r="A520">
        <v>110100011</v>
      </c>
      <c r="B520">
        <f>VLOOKUP(A520,'Fox1'!A:F,2,FALSE)</f>
        <v>4</v>
      </c>
      <c r="C520" t="str">
        <f>VLOOKUP(A520,'Fox1'!A:E,5,FALSE)</f>
        <v>Relentless</v>
      </c>
      <c r="D520" t="str">
        <f>VLOOKUP(A520,'Fox1'!A:F,6,FALSE)</f>
        <v>Increase 30% move speed for 4 seconds when you reborn.</v>
      </c>
      <c r="E520">
        <f t="shared" si="16"/>
        <v>11</v>
      </c>
      <c r="F520">
        <f t="shared" si="17"/>
        <v>1101</v>
      </c>
      <c r="G520" t="str">
        <f>VLOOKUP(E520,DATA!A:C,3,FALSE)</f>
        <v>枪械技能</v>
      </c>
      <c r="H520" t="str">
        <f>VLOOKUP(MID(A520,LEN(A520)-2,1)*1,DATA!G:H,2,FALSE)</f>
        <v>PVP</v>
      </c>
      <c r="I520" t="str">
        <f>VLOOKUP(F520,DATA!B:D,3,FALSE)</f>
        <v>枪械技能</v>
      </c>
    </row>
    <row r="521" spans="1:9" x14ac:dyDescent="0.15">
      <c r="A521">
        <v>110100012</v>
      </c>
      <c r="B521">
        <f>VLOOKUP(A521,'Fox1'!A:F,2,FALSE)</f>
        <v>4</v>
      </c>
      <c r="C521" t="str">
        <f>VLOOKUP(A521,'Fox1'!A:E,5,FALSE)</f>
        <v>Refresher</v>
      </c>
      <c r="D521" t="str">
        <f>VLOOKUP(A521,'Fox1'!A:F,6,FALSE)</f>
        <v>Increase weapon reload speed by 70% if weapon made a kill.</v>
      </c>
      <c r="E521">
        <f t="shared" si="16"/>
        <v>11</v>
      </c>
      <c r="F521">
        <f t="shared" si="17"/>
        <v>1101</v>
      </c>
      <c r="G521" t="str">
        <f>VLOOKUP(E521,DATA!A:C,3,FALSE)</f>
        <v>枪械技能</v>
      </c>
      <c r="H521" t="str">
        <f>VLOOKUP(MID(A521,LEN(A521)-2,1)*1,DATA!G:H,2,FALSE)</f>
        <v>PVP</v>
      </c>
      <c r="I521" t="str">
        <f>VLOOKUP(F521,DATA!B:D,3,FALSE)</f>
        <v>枪械技能</v>
      </c>
    </row>
    <row r="522" spans="1:9" x14ac:dyDescent="0.15">
      <c r="A522">
        <v>110100013</v>
      </c>
      <c r="B522">
        <f>VLOOKUP(A522,'Fox1'!A:F,2,FALSE)</f>
        <v>4</v>
      </c>
      <c r="C522" t="str">
        <f>VLOOKUP(A522,'Fox1'!A:E,5,FALSE)</f>
        <v>Kickback</v>
      </c>
      <c r="D522" t="str">
        <f>VLOOKUP(A522,'Fox1'!A:F,6,FALSE)</f>
        <v>100% chance to add one bullets into your clip if weapon made a kill</v>
      </c>
      <c r="E522">
        <f t="shared" si="16"/>
        <v>11</v>
      </c>
      <c r="F522">
        <f t="shared" si="17"/>
        <v>1101</v>
      </c>
      <c r="G522" t="str">
        <f>VLOOKUP(E522,DATA!A:C,3,FALSE)</f>
        <v>枪械技能</v>
      </c>
      <c r="H522" t="str">
        <f>VLOOKUP(MID(A522,LEN(A522)-2,1)*1,DATA!G:H,2,FALSE)</f>
        <v>PVP</v>
      </c>
      <c r="I522" t="str">
        <f>VLOOKUP(F522,DATA!B:D,3,FALSE)</f>
        <v>枪械技能</v>
      </c>
    </row>
    <row r="523" spans="1:9" x14ac:dyDescent="0.15">
      <c r="A523">
        <v>110100014</v>
      </c>
      <c r="B523">
        <f>VLOOKUP(A523,'Fox1'!A:F,2,FALSE)</f>
        <v>4</v>
      </c>
      <c r="C523" t="str">
        <f>VLOOKUP(A523,'Fox1'!A:E,5,FALSE)</f>
        <v>Tag</v>
      </c>
      <c r="D523" t="str">
        <f>VLOOKUP(A523,'Fox1'!A:F,6,FALSE)</f>
        <v>Outline enemies 1.5 second when dealing or taking weapon damage</v>
      </c>
      <c r="E523">
        <f t="shared" si="16"/>
        <v>11</v>
      </c>
      <c r="F523">
        <f t="shared" si="17"/>
        <v>1101</v>
      </c>
      <c r="G523" t="str">
        <f>VLOOKUP(E523,DATA!A:C,3,FALSE)</f>
        <v>枪械技能</v>
      </c>
      <c r="H523" t="str">
        <f>VLOOKUP(MID(A523,LEN(A523)-2,1)*1,DATA!G:H,2,FALSE)</f>
        <v>PVP</v>
      </c>
      <c r="I523" t="str">
        <f>VLOOKUP(F523,DATA!B:D,3,FALSE)</f>
        <v>枪械技能</v>
      </c>
    </row>
    <row r="524" spans="1:9" x14ac:dyDescent="0.15">
      <c r="A524">
        <v>110100015</v>
      </c>
      <c r="B524">
        <f>VLOOKUP(A524,'Fox1'!A:F,2,FALSE)</f>
        <v>4</v>
      </c>
      <c r="C524" t="str">
        <f>VLOOKUP(A524,'Fox1'!A:E,5,FALSE)</f>
        <v>Stability</v>
      </c>
      <c r="D524" t="str">
        <f>VLOOKUP(A524,'Fox1'!A:F,6,FALSE)</f>
        <v>No weapon sway when aiming</v>
      </c>
      <c r="E524">
        <f t="shared" si="16"/>
        <v>11</v>
      </c>
      <c r="F524">
        <f t="shared" si="17"/>
        <v>1101</v>
      </c>
      <c r="G524" t="str">
        <f>VLOOKUP(E524,DATA!A:C,3,FALSE)</f>
        <v>枪械技能</v>
      </c>
      <c r="H524" t="str">
        <f>VLOOKUP(MID(A524,LEN(A524)-2,1)*1,DATA!G:H,2,FALSE)</f>
        <v>PVP</v>
      </c>
      <c r="I524" t="str">
        <f>VLOOKUP(F524,DATA!B:D,3,FALSE)</f>
        <v>枪械技能</v>
      </c>
    </row>
    <row r="525" spans="1:9" x14ac:dyDescent="0.15">
      <c r="A525">
        <v>110100016</v>
      </c>
      <c r="B525">
        <f>VLOOKUP(A525,'Fox1'!A:F,2,FALSE)</f>
        <v>4</v>
      </c>
      <c r="C525" t="str">
        <f>VLOOKUP(A525,'Fox1'!A:E,5,FALSE)</f>
        <v>MunitionStash</v>
      </c>
      <c r="D525" t="str">
        <f>VLOOKUP(A525,'Fox1'!A:F,6,FALSE)</f>
        <v>50% chance to resupply one lethal grenade when you made a three continuous kills</v>
      </c>
      <c r="E525">
        <f t="shared" si="16"/>
        <v>11</v>
      </c>
      <c r="F525">
        <f t="shared" si="17"/>
        <v>1101</v>
      </c>
      <c r="G525" t="str">
        <f>VLOOKUP(E525,DATA!A:C,3,FALSE)</f>
        <v>枪械技能</v>
      </c>
      <c r="H525" t="str">
        <f>VLOOKUP(MID(A525,LEN(A525)-2,1)*1,DATA!G:H,2,FALSE)</f>
        <v>PVP</v>
      </c>
      <c r="I525" t="str">
        <f>VLOOKUP(F525,DATA!B:D,3,FALSE)</f>
        <v>枪械技能</v>
      </c>
    </row>
    <row r="526" spans="1:9" x14ac:dyDescent="0.15">
      <c r="A526">
        <v>110100017</v>
      </c>
      <c r="B526">
        <f>VLOOKUP(A526,'Fox1'!A:F,2,FALSE)</f>
        <v>5</v>
      </c>
      <c r="C526" t="str">
        <f>VLOOKUP(A526,'Fox1'!A:E,5,FALSE)</f>
        <v>Vampiric</v>
      </c>
      <c r="D526" t="str">
        <f>VLOOKUP(A526,'Fox1'!A:F,6,FALSE)</f>
        <v>Hit enemies can recover 25 health.This effect can only be triggered once in 15 seconds</v>
      </c>
      <c r="E526">
        <f t="shared" si="16"/>
        <v>11</v>
      </c>
      <c r="F526">
        <f t="shared" si="17"/>
        <v>1101</v>
      </c>
      <c r="G526" t="str">
        <f>VLOOKUP(E526,DATA!A:C,3,FALSE)</f>
        <v>枪械技能</v>
      </c>
      <c r="H526" t="str">
        <f>VLOOKUP(MID(A526,LEN(A526)-2,1)*1,DATA!G:H,2,FALSE)</f>
        <v>PVP</v>
      </c>
      <c r="I526" t="str">
        <f>VLOOKUP(F526,DATA!B:D,3,FALSE)</f>
        <v>枪械技能</v>
      </c>
    </row>
    <row r="527" spans="1:9" x14ac:dyDescent="0.15">
      <c r="A527">
        <v>110100018</v>
      </c>
      <c r="B527">
        <f>VLOOKUP(A527,'Fox1'!A:F,2,FALSE)</f>
        <v>5</v>
      </c>
      <c r="C527" t="str">
        <f>VLOOKUP(A527,'Fox1'!A:E,5,FALSE)</f>
        <v>CustomMunition</v>
      </c>
      <c r="D527" t="str">
        <f>VLOOKUP(A527,'Fox1'!A:F,6,FALSE)</f>
        <v xml:space="preserve">Greatly increase weapon fire range. </v>
      </c>
      <c r="E527">
        <f t="shared" si="16"/>
        <v>11</v>
      </c>
      <c r="F527">
        <f t="shared" si="17"/>
        <v>1101</v>
      </c>
      <c r="G527" t="str">
        <f>VLOOKUP(E527,DATA!A:C,3,FALSE)</f>
        <v>枪械技能</v>
      </c>
      <c r="H527" t="str">
        <f>VLOOKUP(MID(A527,LEN(A527)-2,1)*1,DATA!G:H,2,FALSE)</f>
        <v>PVP</v>
      </c>
      <c r="I527" t="str">
        <f>VLOOKUP(F527,DATA!B:D,3,FALSE)</f>
        <v>枪械技能</v>
      </c>
    </row>
    <row r="528" spans="1:9" x14ac:dyDescent="0.15">
      <c r="A528">
        <v>110100019</v>
      </c>
      <c r="B528">
        <f>VLOOKUP(A528,'Fox1'!A:F,2,FALSE)</f>
        <v>5</v>
      </c>
      <c r="C528" t="str">
        <f>VLOOKUP(A528,'Fox1'!A:E,5,FALSE)</f>
        <v>OneShot</v>
      </c>
      <c r="D528" t="str">
        <f>VLOOKUP(A528,'Fox1'!A:F,6,FALSE)</f>
        <v>Increase first bullet damage of each clip</v>
      </c>
      <c r="E528">
        <f t="shared" si="16"/>
        <v>11</v>
      </c>
      <c r="F528">
        <f t="shared" si="17"/>
        <v>1101</v>
      </c>
      <c r="G528" t="str">
        <f>VLOOKUP(E528,DATA!A:C,3,FALSE)</f>
        <v>枪械技能</v>
      </c>
      <c r="H528" t="str">
        <f>VLOOKUP(MID(A528,LEN(A528)-2,1)*1,DATA!G:H,2,FALSE)</f>
        <v>PVP</v>
      </c>
      <c r="I528" t="str">
        <f>VLOOKUP(F528,DATA!B:D,3,FALSE)</f>
        <v>枪械技能</v>
      </c>
    </row>
    <row r="529" spans="1:9" x14ac:dyDescent="0.15">
      <c r="A529">
        <v>110100020</v>
      </c>
      <c r="B529">
        <f>VLOOKUP(A529,'Fox1'!A:F,2,FALSE)</f>
        <v>5</v>
      </c>
      <c r="C529" t="str">
        <f>VLOOKUP(A529,'Fox1'!A:E,5,FALSE)</f>
        <v>Bleeding</v>
      </c>
      <c r="D529" t="str">
        <f>VLOOKUP(A529,'Fox1'!A:F,6,FALSE)</f>
        <v>The enemies are hit will receive 15 damage per 2 seconds,last 4 seconds</v>
      </c>
      <c r="E529">
        <f t="shared" si="16"/>
        <v>11</v>
      </c>
      <c r="F529">
        <f t="shared" si="17"/>
        <v>1101</v>
      </c>
      <c r="G529" t="str">
        <f>VLOOKUP(E529,DATA!A:C,3,FALSE)</f>
        <v>枪械技能</v>
      </c>
      <c r="H529" t="str">
        <f>VLOOKUP(MID(A529,LEN(A529)-2,1)*1,DATA!G:H,2,FALSE)</f>
        <v>PVP</v>
      </c>
      <c r="I529" t="str">
        <f>VLOOKUP(F529,DATA!B:D,3,FALSE)</f>
        <v>枪械技能</v>
      </c>
    </row>
    <row r="530" spans="1:9" x14ac:dyDescent="0.15">
      <c r="A530">
        <v>110110001</v>
      </c>
      <c r="B530" t="e">
        <f>VLOOKUP(A530,'Fox1'!A:F,2,FALSE)</f>
        <v>#N/A</v>
      </c>
      <c r="C530" t="e">
        <f>VLOOKUP(A530,'Fox1'!A:E,5,FALSE)</f>
        <v>#N/A</v>
      </c>
      <c r="D530" t="e">
        <f>VLOOKUP(A530,'Fox1'!A:F,6,FALSE)</f>
        <v>#N/A</v>
      </c>
      <c r="E530">
        <f t="shared" si="16"/>
        <v>11</v>
      </c>
      <c r="F530">
        <f t="shared" si="17"/>
        <v>1101</v>
      </c>
      <c r="G530" t="str">
        <f>VLOOKUP(E530,DATA!A:C,3,FALSE)</f>
        <v>枪械技能</v>
      </c>
      <c r="H530" t="str">
        <f>VLOOKUP(MID(A530,LEN(A530)-2,1)*1,DATA!G:H,2,FALSE)</f>
        <v>PVP</v>
      </c>
      <c r="I530" t="str">
        <f>VLOOKUP(F530,DATA!B:D,3,FALSE)</f>
        <v>枪械技能</v>
      </c>
    </row>
    <row r="531" spans="1:9" x14ac:dyDescent="0.15">
      <c r="A531">
        <v>110110002</v>
      </c>
      <c r="B531" t="e">
        <f>VLOOKUP(A531,'Fox1'!A:F,2,FALSE)</f>
        <v>#N/A</v>
      </c>
      <c r="C531" t="e">
        <f>VLOOKUP(A531,'Fox1'!A:E,5,FALSE)</f>
        <v>#N/A</v>
      </c>
      <c r="D531" t="e">
        <f>VLOOKUP(A531,'Fox1'!A:F,6,FALSE)</f>
        <v>#N/A</v>
      </c>
      <c r="E531">
        <f t="shared" si="16"/>
        <v>11</v>
      </c>
      <c r="F531">
        <f t="shared" si="17"/>
        <v>1101</v>
      </c>
      <c r="G531" t="str">
        <f>VLOOKUP(E531,DATA!A:C,3,FALSE)</f>
        <v>枪械技能</v>
      </c>
      <c r="H531" t="str">
        <f>VLOOKUP(MID(A531,LEN(A531)-2,1)*1,DATA!G:H,2,FALSE)</f>
        <v>PVP</v>
      </c>
      <c r="I531" t="str">
        <f>VLOOKUP(F531,DATA!B:D,3,FALSE)</f>
        <v>枪械技能</v>
      </c>
    </row>
    <row r="532" spans="1:9" x14ac:dyDescent="0.15">
      <c r="A532">
        <v>110110003</v>
      </c>
      <c r="B532" t="e">
        <f>VLOOKUP(A532,'Fox1'!A:F,2,FALSE)</f>
        <v>#N/A</v>
      </c>
      <c r="C532" t="e">
        <f>VLOOKUP(A532,'Fox1'!A:E,5,FALSE)</f>
        <v>#N/A</v>
      </c>
      <c r="D532" t="e">
        <f>VLOOKUP(A532,'Fox1'!A:F,6,FALSE)</f>
        <v>#N/A</v>
      </c>
      <c r="E532">
        <f t="shared" si="16"/>
        <v>11</v>
      </c>
      <c r="F532">
        <f t="shared" si="17"/>
        <v>1101</v>
      </c>
      <c r="G532" t="str">
        <f>VLOOKUP(E532,DATA!A:C,3,FALSE)</f>
        <v>枪械技能</v>
      </c>
      <c r="H532" t="str">
        <f>VLOOKUP(MID(A532,LEN(A532)-2,1)*1,DATA!G:H,2,FALSE)</f>
        <v>PVP</v>
      </c>
      <c r="I532" t="str">
        <f>VLOOKUP(F532,DATA!B:D,3,FALSE)</f>
        <v>枪械技能</v>
      </c>
    </row>
    <row r="533" spans="1:9" x14ac:dyDescent="0.15">
      <c r="A533">
        <v>110110004</v>
      </c>
      <c r="B533" t="e">
        <f>VLOOKUP(A533,'Fox1'!A:F,2,FALSE)</f>
        <v>#N/A</v>
      </c>
      <c r="C533" t="e">
        <f>VLOOKUP(A533,'Fox1'!A:E,5,FALSE)</f>
        <v>#N/A</v>
      </c>
      <c r="D533" t="e">
        <f>VLOOKUP(A533,'Fox1'!A:F,6,FALSE)</f>
        <v>#N/A</v>
      </c>
      <c r="E533">
        <f t="shared" si="16"/>
        <v>11</v>
      </c>
      <c r="F533">
        <f t="shared" si="17"/>
        <v>1101</v>
      </c>
      <c r="G533" t="str">
        <f>VLOOKUP(E533,DATA!A:C,3,FALSE)</f>
        <v>枪械技能</v>
      </c>
      <c r="H533" t="str">
        <f>VLOOKUP(MID(A533,LEN(A533)-2,1)*1,DATA!G:H,2,FALSE)</f>
        <v>PVP</v>
      </c>
      <c r="I533" t="str">
        <f>VLOOKUP(F533,DATA!B:D,3,FALSE)</f>
        <v>枪械技能</v>
      </c>
    </row>
    <row r="534" spans="1:9" x14ac:dyDescent="0.15">
      <c r="A534">
        <v>110110005</v>
      </c>
      <c r="B534" t="e">
        <f>VLOOKUP(A534,'Fox1'!A:F,2,FALSE)</f>
        <v>#N/A</v>
      </c>
      <c r="C534" t="e">
        <f>VLOOKUP(A534,'Fox1'!A:E,5,FALSE)</f>
        <v>#N/A</v>
      </c>
      <c r="D534" t="e">
        <f>VLOOKUP(A534,'Fox1'!A:F,6,FALSE)</f>
        <v>#N/A</v>
      </c>
      <c r="E534">
        <f t="shared" si="16"/>
        <v>11</v>
      </c>
      <c r="F534">
        <f t="shared" si="17"/>
        <v>1101</v>
      </c>
      <c r="G534" t="str">
        <f>VLOOKUP(E534,DATA!A:C,3,FALSE)</f>
        <v>枪械技能</v>
      </c>
      <c r="H534" t="str">
        <f>VLOOKUP(MID(A534,LEN(A534)-2,1)*1,DATA!G:H,2,FALSE)</f>
        <v>PVP</v>
      </c>
      <c r="I534" t="str">
        <f>VLOOKUP(F534,DATA!B:D,3,FALSE)</f>
        <v>枪械技能</v>
      </c>
    </row>
    <row r="535" spans="1:9" x14ac:dyDescent="0.15">
      <c r="A535">
        <v>110110006</v>
      </c>
      <c r="B535" t="e">
        <f>VLOOKUP(A535,'Fox1'!A:F,2,FALSE)</f>
        <v>#N/A</v>
      </c>
      <c r="C535" t="e">
        <f>VLOOKUP(A535,'Fox1'!A:E,5,FALSE)</f>
        <v>#N/A</v>
      </c>
      <c r="D535" t="e">
        <f>VLOOKUP(A535,'Fox1'!A:F,6,FALSE)</f>
        <v>#N/A</v>
      </c>
      <c r="E535">
        <f t="shared" si="16"/>
        <v>11</v>
      </c>
      <c r="F535">
        <f t="shared" si="17"/>
        <v>1101</v>
      </c>
      <c r="G535" t="str">
        <f>VLOOKUP(E535,DATA!A:C,3,FALSE)</f>
        <v>枪械技能</v>
      </c>
      <c r="H535" t="str">
        <f>VLOOKUP(MID(A535,LEN(A535)-2,1)*1,DATA!G:H,2,FALSE)</f>
        <v>PVP</v>
      </c>
      <c r="I535" t="str">
        <f>VLOOKUP(F535,DATA!B:D,3,FALSE)</f>
        <v>枪械技能</v>
      </c>
    </row>
    <row r="536" spans="1:9" x14ac:dyDescent="0.15">
      <c r="A536">
        <v>110110007</v>
      </c>
      <c r="B536" t="e">
        <f>VLOOKUP(A536,'Fox1'!A:F,2,FALSE)</f>
        <v>#N/A</v>
      </c>
      <c r="C536" t="e">
        <f>VLOOKUP(A536,'Fox1'!A:E,5,FALSE)</f>
        <v>#N/A</v>
      </c>
      <c r="D536" t="e">
        <f>VLOOKUP(A536,'Fox1'!A:F,6,FALSE)</f>
        <v>#N/A</v>
      </c>
      <c r="E536">
        <f t="shared" si="16"/>
        <v>11</v>
      </c>
      <c r="F536">
        <f t="shared" si="17"/>
        <v>1101</v>
      </c>
      <c r="G536" t="str">
        <f>VLOOKUP(E536,DATA!A:C,3,FALSE)</f>
        <v>枪械技能</v>
      </c>
      <c r="H536" t="str">
        <f>VLOOKUP(MID(A536,LEN(A536)-2,1)*1,DATA!G:H,2,FALSE)</f>
        <v>PVP</v>
      </c>
      <c r="I536" t="str">
        <f>VLOOKUP(F536,DATA!B:D,3,FALSE)</f>
        <v>枪械技能</v>
      </c>
    </row>
    <row r="537" spans="1:9" x14ac:dyDescent="0.15">
      <c r="A537">
        <v>110110008</v>
      </c>
      <c r="B537" t="e">
        <f>VLOOKUP(A537,'Fox1'!A:F,2,FALSE)</f>
        <v>#N/A</v>
      </c>
      <c r="C537" t="e">
        <f>VLOOKUP(A537,'Fox1'!A:E,5,FALSE)</f>
        <v>#N/A</v>
      </c>
      <c r="D537" t="e">
        <f>VLOOKUP(A537,'Fox1'!A:F,6,FALSE)</f>
        <v>#N/A</v>
      </c>
      <c r="E537">
        <f t="shared" si="16"/>
        <v>11</v>
      </c>
      <c r="F537">
        <f t="shared" si="17"/>
        <v>1101</v>
      </c>
      <c r="G537" t="str">
        <f>VLOOKUP(E537,DATA!A:C,3,FALSE)</f>
        <v>枪械技能</v>
      </c>
      <c r="H537" t="str">
        <f>VLOOKUP(MID(A537,LEN(A537)-2,1)*1,DATA!G:H,2,FALSE)</f>
        <v>PVP</v>
      </c>
      <c r="I537" t="str">
        <f>VLOOKUP(F537,DATA!B:D,3,FALSE)</f>
        <v>枪械技能</v>
      </c>
    </row>
    <row r="538" spans="1:9" x14ac:dyDescent="0.15">
      <c r="A538">
        <v>110110009</v>
      </c>
      <c r="B538" t="e">
        <f>VLOOKUP(A538,'Fox1'!A:F,2,FALSE)</f>
        <v>#N/A</v>
      </c>
      <c r="C538" t="e">
        <f>VLOOKUP(A538,'Fox1'!A:E,5,FALSE)</f>
        <v>#N/A</v>
      </c>
      <c r="D538" t="e">
        <f>VLOOKUP(A538,'Fox1'!A:F,6,FALSE)</f>
        <v>#N/A</v>
      </c>
      <c r="E538">
        <f t="shared" si="16"/>
        <v>11</v>
      </c>
      <c r="F538">
        <f t="shared" si="17"/>
        <v>1101</v>
      </c>
      <c r="G538" t="str">
        <f>VLOOKUP(E538,DATA!A:C,3,FALSE)</f>
        <v>枪械技能</v>
      </c>
      <c r="H538" t="str">
        <f>VLOOKUP(MID(A538,LEN(A538)-2,1)*1,DATA!G:H,2,FALSE)</f>
        <v>PVP</v>
      </c>
      <c r="I538" t="str">
        <f>VLOOKUP(F538,DATA!B:D,3,FALSE)</f>
        <v>枪械技能</v>
      </c>
    </row>
    <row r="539" spans="1:9" x14ac:dyDescent="0.15">
      <c r="A539">
        <v>110110010</v>
      </c>
      <c r="B539" t="e">
        <f>VLOOKUP(A539,'Fox1'!A:F,2,FALSE)</f>
        <v>#N/A</v>
      </c>
      <c r="C539" t="e">
        <f>VLOOKUP(A539,'Fox1'!A:E,5,FALSE)</f>
        <v>#N/A</v>
      </c>
      <c r="D539" t="e">
        <f>VLOOKUP(A539,'Fox1'!A:F,6,FALSE)</f>
        <v>#N/A</v>
      </c>
      <c r="E539">
        <f t="shared" si="16"/>
        <v>11</v>
      </c>
      <c r="F539">
        <f t="shared" si="17"/>
        <v>1101</v>
      </c>
      <c r="G539" t="str">
        <f>VLOOKUP(E539,DATA!A:C,3,FALSE)</f>
        <v>枪械技能</v>
      </c>
      <c r="H539" t="str">
        <f>VLOOKUP(MID(A539,LEN(A539)-2,1)*1,DATA!G:H,2,FALSE)</f>
        <v>PVP</v>
      </c>
      <c r="I539" t="str">
        <f>VLOOKUP(F539,DATA!B:D,3,FALSE)</f>
        <v>枪械技能</v>
      </c>
    </row>
    <row r="540" spans="1:9" x14ac:dyDescent="0.15">
      <c r="A540">
        <v>110110011</v>
      </c>
      <c r="B540" t="e">
        <f>VLOOKUP(A540,'Fox1'!A:F,2,FALSE)</f>
        <v>#N/A</v>
      </c>
      <c r="C540" t="e">
        <f>VLOOKUP(A540,'Fox1'!A:E,5,FALSE)</f>
        <v>#N/A</v>
      </c>
      <c r="D540" t="e">
        <f>VLOOKUP(A540,'Fox1'!A:F,6,FALSE)</f>
        <v>#N/A</v>
      </c>
      <c r="E540">
        <f t="shared" si="16"/>
        <v>11</v>
      </c>
      <c r="F540">
        <f t="shared" si="17"/>
        <v>1101</v>
      </c>
      <c r="G540" t="str">
        <f>VLOOKUP(E540,DATA!A:C,3,FALSE)</f>
        <v>枪械技能</v>
      </c>
      <c r="H540" t="str">
        <f>VLOOKUP(MID(A540,LEN(A540)-2,1)*1,DATA!G:H,2,FALSE)</f>
        <v>PVP</v>
      </c>
      <c r="I540" t="str">
        <f>VLOOKUP(F540,DATA!B:D,3,FALSE)</f>
        <v>枪械技能</v>
      </c>
    </row>
    <row r="541" spans="1:9" x14ac:dyDescent="0.15">
      <c r="A541">
        <v>110110012</v>
      </c>
      <c r="B541" t="e">
        <f>VLOOKUP(A541,'Fox1'!A:F,2,FALSE)</f>
        <v>#N/A</v>
      </c>
      <c r="C541" t="e">
        <f>VLOOKUP(A541,'Fox1'!A:E,5,FALSE)</f>
        <v>#N/A</v>
      </c>
      <c r="D541" t="e">
        <f>VLOOKUP(A541,'Fox1'!A:F,6,FALSE)</f>
        <v>#N/A</v>
      </c>
      <c r="E541">
        <f t="shared" si="16"/>
        <v>11</v>
      </c>
      <c r="F541">
        <f t="shared" si="17"/>
        <v>1101</v>
      </c>
      <c r="G541" t="str">
        <f>VLOOKUP(E541,DATA!A:C,3,FALSE)</f>
        <v>枪械技能</v>
      </c>
      <c r="H541" t="str">
        <f>VLOOKUP(MID(A541,LEN(A541)-2,1)*1,DATA!G:H,2,FALSE)</f>
        <v>PVP</v>
      </c>
      <c r="I541" t="str">
        <f>VLOOKUP(F541,DATA!B:D,3,FALSE)</f>
        <v>枪械技能</v>
      </c>
    </row>
    <row r="542" spans="1:9" x14ac:dyDescent="0.15">
      <c r="A542">
        <v>110110013</v>
      </c>
      <c r="B542" t="e">
        <f>VLOOKUP(A542,'Fox1'!A:F,2,FALSE)</f>
        <v>#N/A</v>
      </c>
      <c r="C542" t="e">
        <f>VLOOKUP(A542,'Fox1'!A:E,5,FALSE)</f>
        <v>#N/A</v>
      </c>
      <c r="D542" t="e">
        <f>VLOOKUP(A542,'Fox1'!A:F,6,FALSE)</f>
        <v>#N/A</v>
      </c>
      <c r="E542">
        <f t="shared" si="16"/>
        <v>11</v>
      </c>
      <c r="F542">
        <f t="shared" si="17"/>
        <v>1101</v>
      </c>
      <c r="G542" t="str">
        <f>VLOOKUP(E542,DATA!A:C,3,FALSE)</f>
        <v>枪械技能</v>
      </c>
      <c r="H542" t="str">
        <f>VLOOKUP(MID(A542,LEN(A542)-2,1)*1,DATA!G:H,2,FALSE)</f>
        <v>PVP</v>
      </c>
      <c r="I542" t="str">
        <f>VLOOKUP(F542,DATA!B:D,3,FALSE)</f>
        <v>枪械技能</v>
      </c>
    </row>
    <row r="543" spans="1:9" x14ac:dyDescent="0.15">
      <c r="A543">
        <v>110110014</v>
      </c>
      <c r="B543" t="e">
        <f>VLOOKUP(A543,'Fox1'!A:F,2,FALSE)</f>
        <v>#N/A</v>
      </c>
      <c r="C543" t="e">
        <f>VLOOKUP(A543,'Fox1'!A:E,5,FALSE)</f>
        <v>#N/A</v>
      </c>
      <c r="D543" t="e">
        <f>VLOOKUP(A543,'Fox1'!A:F,6,FALSE)</f>
        <v>#N/A</v>
      </c>
      <c r="E543">
        <f t="shared" si="16"/>
        <v>11</v>
      </c>
      <c r="F543">
        <f t="shared" si="17"/>
        <v>1101</v>
      </c>
      <c r="G543" t="str">
        <f>VLOOKUP(E543,DATA!A:C,3,FALSE)</f>
        <v>枪械技能</v>
      </c>
      <c r="H543" t="str">
        <f>VLOOKUP(MID(A543,LEN(A543)-2,1)*1,DATA!G:H,2,FALSE)</f>
        <v>PVP</v>
      </c>
      <c r="I543" t="str">
        <f>VLOOKUP(F543,DATA!B:D,3,FALSE)</f>
        <v>枪械技能</v>
      </c>
    </row>
    <row r="544" spans="1:9" x14ac:dyDescent="0.15">
      <c r="A544">
        <v>110110015</v>
      </c>
      <c r="B544" t="e">
        <f>VLOOKUP(A544,'Fox1'!A:F,2,FALSE)</f>
        <v>#N/A</v>
      </c>
      <c r="C544" t="e">
        <f>VLOOKUP(A544,'Fox1'!A:E,5,FALSE)</f>
        <v>#N/A</v>
      </c>
      <c r="D544" t="e">
        <f>VLOOKUP(A544,'Fox1'!A:F,6,FALSE)</f>
        <v>#N/A</v>
      </c>
      <c r="E544">
        <f t="shared" si="16"/>
        <v>11</v>
      </c>
      <c r="F544">
        <f t="shared" si="17"/>
        <v>1101</v>
      </c>
      <c r="G544" t="str">
        <f>VLOOKUP(E544,DATA!A:C,3,FALSE)</f>
        <v>枪械技能</v>
      </c>
      <c r="H544" t="str">
        <f>VLOOKUP(MID(A544,LEN(A544)-2,1)*1,DATA!G:H,2,FALSE)</f>
        <v>PVP</v>
      </c>
      <c r="I544" t="str">
        <f>VLOOKUP(F544,DATA!B:D,3,FALSE)</f>
        <v>枪械技能</v>
      </c>
    </row>
    <row r="545" spans="1:9" x14ac:dyDescent="0.15">
      <c r="A545">
        <v>110110016</v>
      </c>
      <c r="B545" t="e">
        <f>VLOOKUP(A545,'Fox1'!A:F,2,FALSE)</f>
        <v>#N/A</v>
      </c>
      <c r="C545" t="e">
        <f>VLOOKUP(A545,'Fox1'!A:E,5,FALSE)</f>
        <v>#N/A</v>
      </c>
      <c r="D545" t="e">
        <f>VLOOKUP(A545,'Fox1'!A:F,6,FALSE)</f>
        <v>#N/A</v>
      </c>
      <c r="E545">
        <f t="shared" si="16"/>
        <v>11</v>
      </c>
      <c r="F545">
        <f t="shared" si="17"/>
        <v>1101</v>
      </c>
      <c r="G545" t="str">
        <f>VLOOKUP(E545,DATA!A:C,3,FALSE)</f>
        <v>枪械技能</v>
      </c>
      <c r="H545" t="str">
        <f>VLOOKUP(MID(A545,LEN(A545)-2,1)*1,DATA!G:H,2,FALSE)</f>
        <v>PVP</v>
      </c>
      <c r="I545" t="str">
        <f>VLOOKUP(F545,DATA!B:D,3,FALSE)</f>
        <v>枪械技能</v>
      </c>
    </row>
    <row r="546" spans="1:9" x14ac:dyDescent="0.15">
      <c r="A546">
        <v>110110017</v>
      </c>
      <c r="B546" t="e">
        <f>VLOOKUP(A546,'Fox1'!A:F,2,FALSE)</f>
        <v>#N/A</v>
      </c>
      <c r="C546" t="e">
        <f>VLOOKUP(A546,'Fox1'!A:E,5,FALSE)</f>
        <v>#N/A</v>
      </c>
      <c r="D546" t="e">
        <f>VLOOKUP(A546,'Fox1'!A:F,6,FALSE)</f>
        <v>#N/A</v>
      </c>
      <c r="E546">
        <f t="shared" si="16"/>
        <v>11</v>
      </c>
      <c r="F546">
        <f t="shared" si="17"/>
        <v>1101</v>
      </c>
      <c r="G546" t="str">
        <f>VLOOKUP(E546,DATA!A:C,3,FALSE)</f>
        <v>枪械技能</v>
      </c>
      <c r="H546" t="str">
        <f>VLOOKUP(MID(A546,LEN(A546)-2,1)*1,DATA!G:H,2,FALSE)</f>
        <v>PVP</v>
      </c>
      <c r="I546" t="str">
        <f>VLOOKUP(F546,DATA!B:D,3,FALSE)</f>
        <v>枪械技能</v>
      </c>
    </row>
    <row r="547" spans="1:9" x14ac:dyDescent="0.15">
      <c r="A547">
        <v>110110018</v>
      </c>
      <c r="B547" t="e">
        <f>VLOOKUP(A547,'Fox1'!A:F,2,FALSE)</f>
        <v>#N/A</v>
      </c>
      <c r="C547" t="e">
        <f>VLOOKUP(A547,'Fox1'!A:E,5,FALSE)</f>
        <v>#N/A</v>
      </c>
      <c r="D547" t="e">
        <f>VLOOKUP(A547,'Fox1'!A:F,6,FALSE)</f>
        <v>#N/A</v>
      </c>
      <c r="E547">
        <f t="shared" si="16"/>
        <v>11</v>
      </c>
      <c r="F547">
        <f t="shared" si="17"/>
        <v>1101</v>
      </c>
      <c r="G547" t="str">
        <f>VLOOKUP(E547,DATA!A:C,3,FALSE)</f>
        <v>枪械技能</v>
      </c>
      <c r="H547" t="str">
        <f>VLOOKUP(MID(A547,LEN(A547)-2,1)*1,DATA!G:H,2,FALSE)</f>
        <v>PVP</v>
      </c>
      <c r="I547" t="str">
        <f>VLOOKUP(F547,DATA!B:D,3,FALSE)</f>
        <v>枪械技能</v>
      </c>
    </row>
    <row r="548" spans="1:9" x14ac:dyDescent="0.15">
      <c r="A548">
        <v>150001001</v>
      </c>
      <c r="B548">
        <f>VLOOKUP(A548,'Fox1'!A:F,2,FALSE)</f>
        <v>3</v>
      </c>
      <c r="C548" t="str">
        <f>VLOOKUP(A548,'Fox1'!A:E,5,FALSE)</f>
        <v>Purifier</v>
      </c>
      <c r="D548" t="str">
        <f>VLOOKUP(A548,'Fox1'!A:F,6,FALSE)</f>
        <v>Flamethrower that fires a steady stream of heat,scorching enemies within close range.</v>
      </c>
      <c r="E548">
        <f t="shared" si="16"/>
        <v>15</v>
      </c>
      <c r="F548">
        <f t="shared" si="17"/>
        <v>1500</v>
      </c>
      <c r="G548" t="str">
        <f>VLOOKUP(E548,DATA!A:C,3,FALSE)</f>
        <v>Super</v>
      </c>
      <c r="H548" t="str">
        <f>VLOOKUP(MID(A548,LEN(A548)-2,1)*1,DATA!G:H,2,FALSE)</f>
        <v>PVP</v>
      </c>
      <c r="I548" t="str">
        <f>VLOOKUP(F548,DATA!B:D,3,FALSE)</f>
        <v>Super</v>
      </c>
    </row>
    <row r="549" spans="1:9" x14ac:dyDescent="0.15">
      <c r="A549">
        <v>150001002</v>
      </c>
      <c r="B549">
        <f>VLOOKUP(A549,'Fox1'!A:F,2,FALSE)</f>
        <v>4</v>
      </c>
      <c r="C549" t="str">
        <f>VLOOKUP(A549,'Fox1'!A:E,5,FALSE)</f>
        <v>Purifier</v>
      </c>
      <c r="D549" t="str">
        <f>VLOOKUP(A549,'Fox1'!A:F,6,FALSE)</f>
        <v>Flamethrower that fires a steady stream of heat,scorching enemies within close range.</v>
      </c>
      <c r="E549">
        <f t="shared" si="16"/>
        <v>15</v>
      </c>
      <c r="F549">
        <f t="shared" si="17"/>
        <v>1500</v>
      </c>
      <c r="G549" t="str">
        <f>VLOOKUP(E549,DATA!A:C,3,FALSE)</f>
        <v>Super</v>
      </c>
      <c r="H549" t="str">
        <f>VLOOKUP(MID(A549,LEN(A549)-2,1)*1,DATA!G:H,2,FALSE)</f>
        <v>PVP</v>
      </c>
      <c r="I549" t="str">
        <f>VLOOKUP(F549,DATA!B:D,3,FALSE)</f>
        <v>Super</v>
      </c>
    </row>
    <row r="550" spans="1:9" x14ac:dyDescent="0.15">
      <c r="A550">
        <v>150001003</v>
      </c>
      <c r="B550">
        <f>VLOOKUP(A550,'Fox1'!A:F,2,FALSE)</f>
        <v>5</v>
      </c>
      <c r="C550" t="str">
        <f>VLOOKUP(A550,'Fox1'!A:E,5,FALSE)</f>
        <v>Purifier</v>
      </c>
      <c r="D550" t="str">
        <f>VLOOKUP(A550,'Fox1'!A:F,6,FALSE)</f>
        <v>Flamethrower that fires a steady stream of heat,scorching enemies within close range.</v>
      </c>
      <c r="E550">
        <f t="shared" si="16"/>
        <v>15</v>
      </c>
      <c r="F550">
        <f t="shared" si="17"/>
        <v>1500</v>
      </c>
      <c r="G550" t="str">
        <f>VLOOKUP(E550,DATA!A:C,3,FALSE)</f>
        <v>Super</v>
      </c>
      <c r="H550" t="str">
        <f>VLOOKUP(MID(A550,LEN(A550)-2,1)*1,DATA!G:H,2,FALSE)</f>
        <v>PVP</v>
      </c>
      <c r="I550" t="str">
        <f>VLOOKUP(F550,DATA!B:D,3,FALSE)</f>
        <v>Super</v>
      </c>
    </row>
    <row r="551" spans="1:9" x14ac:dyDescent="0.15">
      <c r="A551">
        <v>150001101</v>
      </c>
      <c r="B551">
        <f>VLOOKUP(A551,'Fox1'!A:F,2,FALSE)</f>
        <v>3</v>
      </c>
      <c r="C551" t="str">
        <f>VLOOKUP(A551,'Fox1'!A:E,5,FALSE)</f>
        <v>Full Auto</v>
      </c>
      <c r="D551" t="str">
        <f>VLOOKUP(A551,'Fox1'!A:F,6,FALSE)</f>
        <v>+20% your squad's fire rate. Last 8 seconds.</v>
      </c>
      <c r="E551">
        <f t="shared" si="16"/>
        <v>15</v>
      </c>
      <c r="F551">
        <f t="shared" si="17"/>
        <v>1500</v>
      </c>
      <c r="G551" t="str">
        <f>VLOOKUP(E551,DATA!A:C,3,FALSE)</f>
        <v>Super</v>
      </c>
      <c r="H551" t="str">
        <f>VLOOKUP(MID(A551,LEN(A551)-2,1)*1,DATA!G:H,2,FALSE)</f>
        <v>PVE</v>
      </c>
      <c r="I551" t="str">
        <f>VLOOKUP(F551,DATA!B:D,3,FALSE)</f>
        <v>Super</v>
      </c>
    </row>
    <row r="552" spans="1:9" x14ac:dyDescent="0.15">
      <c r="A552">
        <v>150001102</v>
      </c>
      <c r="B552">
        <f>VLOOKUP(A552,'Fox1'!A:F,2,FALSE)</f>
        <v>4</v>
      </c>
      <c r="C552" t="str">
        <f>VLOOKUP(A552,'Fox1'!A:E,5,FALSE)</f>
        <v>Full Auto</v>
      </c>
      <c r="D552" t="str">
        <f>VLOOKUP(A552,'Fox1'!A:F,6,FALSE)</f>
        <v>+25% your squad's fire rate. Last 12 seconds.</v>
      </c>
      <c r="E552">
        <f t="shared" si="16"/>
        <v>15</v>
      </c>
      <c r="F552">
        <f t="shared" si="17"/>
        <v>1500</v>
      </c>
      <c r="G552" t="str">
        <f>VLOOKUP(E552,DATA!A:C,3,FALSE)</f>
        <v>Super</v>
      </c>
      <c r="H552" t="str">
        <f>VLOOKUP(MID(A552,LEN(A552)-2,1)*1,DATA!G:H,2,FALSE)</f>
        <v>PVE</v>
      </c>
      <c r="I552" t="str">
        <f>VLOOKUP(F552,DATA!B:D,3,FALSE)</f>
        <v>Super</v>
      </c>
    </row>
    <row r="553" spans="1:9" x14ac:dyDescent="0.15">
      <c r="A553">
        <v>150001103</v>
      </c>
      <c r="B553">
        <f>VLOOKUP(A553,'Fox1'!A:F,2,FALSE)</f>
        <v>5</v>
      </c>
      <c r="C553" t="str">
        <f>VLOOKUP(A553,'Fox1'!A:E,5,FALSE)</f>
        <v>Full Auto</v>
      </c>
      <c r="D553" t="str">
        <f>VLOOKUP(A553,'Fox1'!A:F,6,FALSE)</f>
        <v>+30% your squad's fire rate. Last 15 seconds.</v>
      </c>
      <c r="E553">
        <f t="shared" si="16"/>
        <v>15</v>
      </c>
      <c r="F553">
        <f t="shared" si="17"/>
        <v>1500</v>
      </c>
      <c r="G553" t="str">
        <f>VLOOKUP(E553,DATA!A:C,3,FALSE)</f>
        <v>Super</v>
      </c>
      <c r="H553" t="str">
        <f>VLOOKUP(MID(A553,LEN(A553)-2,1)*1,DATA!G:H,2,FALSE)</f>
        <v>PVE</v>
      </c>
      <c r="I553" t="str">
        <f>VLOOKUP(F553,DATA!B:D,3,FALSE)</f>
        <v>Super</v>
      </c>
    </row>
    <row r="554" spans="1:9" x14ac:dyDescent="0.15">
      <c r="A554">
        <v>150002001</v>
      </c>
      <c r="B554">
        <f>VLOOKUP(A554,'Fox1'!A:F,2,FALSE)</f>
        <v>3</v>
      </c>
      <c r="C554" t="str">
        <f>VLOOKUP(A554,'Fox1'!A:E,5,FALSE)</f>
        <v>War Machine</v>
      </c>
      <c r="D554" t="str">
        <f>VLOOKUP(A554,'Fox1'!A:F,6,FALSE)</f>
        <v>Grenade launcher with rapid fully automatic firing.</v>
      </c>
      <c r="E554">
        <f t="shared" si="16"/>
        <v>15</v>
      </c>
      <c r="F554">
        <f t="shared" si="17"/>
        <v>1500</v>
      </c>
      <c r="G554" t="str">
        <f>VLOOKUP(E554,DATA!A:C,3,FALSE)</f>
        <v>Super</v>
      </c>
      <c r="H554" t="str">
        <f>VLOOKUP(MID(A554,LEN(A554)-2,1)*1,DATA!G:H,2,FALSE)</f>
        <v>PVP</v>
      </c>
      <c r="I554" t="str">
        <f>VLOOKUP(F554,DATA!B:D,3,FALSE)</f>
        <v>Super</v>
      </c>
    </row>
    <row r="555" spans="1:9" x14ac:dyDescent="0.15">
      <c r="A555">
        <v>150002002</v>
      </c>
      <c r="B555">
        <f>VLOOKUP(A555,'Fox1'!A:F,2,FALSE)</f>
        <v>4</v>
      </c>
      <c r="C555" t="str">
        <f>VLOOKUP(A555,'Fox1'!A:E,5,FALSE)</f>
        <v>War Machine</v>
      </c>
      <c r="D555" t="str">
        <f>VLOOKUP(A555,'Fox1'!A:F,6,FALSE)</f>
        <v>Grenade launcher with rapid fully automatic firing.</v>
      </c>
      <c r="E555">
        <f t="shared" si="16"/>
        <v>15</v>
      </c>
      <c r="F555">
        <f t="shared" si="17"/>
        <v>1500</v>
      </c>
      <c r="G555" t="str">
        <f>VLOOKUP(E555,DATA!A:C,3,FALSE)</f>
        <v>Super</v>
      </c>
      <c r="H555" t="str">
        <f>VLOOKUP(MID(A555,LEN(A555)-2,1)*1,DATA!G:H,2,FALSE)</f>
        <v>PVP</v>
      </c>
      <c r="I555" t="str">
        <f>VLOOKUP(F555,DATA!B:D,3,FALSE)</f>
        <v>Super</v>
      </c>
    </row>
    <row r="556" spans="1:9" x14ac:dyDescent="0.15">
      <c r="A556">
        <v>150002003</v>
      </c>
      <c r="B556">
        <f>VLOOKUP(A556,'Fox1'!A:F,2,FALSE)</f>
        <v>5</v>
      </c>
      <c r="C556" t="str">
        <f>VLOOKUP(A556,'Fox1'!A:E,5,FALSE)</f>
        <v>War Machine</v>
      </c>
      <c r="D556" t="str">
        <f>VLOOKUP(A556,'Fox1'!A:F,6,FALSE)</f>
        <v>Grenade launcher with rapid fully automatic firing.</v>
      </c>
      <c r="E556">
        <f t="shared" si="16"/>
        <v>15</v>
      </c>
      <c r="F556">
        <f t="shared" si="17"/>
        <v>1500</v>
      </c>
      <c r="G556" t="str">
        <f>VLOOKUP(E556,DATA!A:C,3,FALSE)</f>
        <v>Super</v>
      </c>
      <c r="H556" t="str">
        <f>VLOOKUP(MID(A556,LEN(A556)-2,1)*1,DATA!G:H,2,FALSE)</f>
        <v>PVP</v>
      </c>
      <c r="I556" t="str">
        <f>VLOOKUP(F556,DATA!B:D,3,FALSE)</f>
        <v>Super</v>
      </c>
    </row>
    <row r="557" spans="1:9" x14ac:dyDescent="0.15">
      <c r="A557">
        <v>150002101</v>
      </c>
      <c r="B557">
        <f>VLOOKUP(A557,'Fox1'!A:F,2,FALSE)</f>
        <v>3</v>
      </c>
      <c r="C557" t="str">
        <f>VLOOKUP(A557,'Fox1'!A:E,5,FALSE)</f>
        <v>Skin Implant</v>
      </c>
      <c r="D557" t="str">
        <f>VLOOKUP(A557,'Fox1'!A:F,6,FALSE)</f>
        <v>-50% damage from zombies to your squad. Last 6 seconds</v>
      </c>
      <c r="E557">
        <f t="shared" si="16"/>
        <v>15</v>
      </c>
      <c r="F557">
        <f t="shared" si="17"/>
        <v>1500</v>
      </c>
      <c r="G557" t="str">
        <f>VLOOKUP(E557,DATA!A:C,3,FALSE)</f>
        <v>Super</v>
      </c>
      <c r="H557" t="str">
        <f>VLOOKUP(MID(A557,LEN(A557)-2,1)*1,DATA!G:H,2,FALSE)</f>
        <v>PVE</v>
      </c>
      <c r="I557" t="str">
        <f>VLOOKUP(F557,DATA!B:D,3,FALSE)</f>
        <v>Super</v>
      </c>
    </row>
    <row r="558" spans="1:9" x14ac:dyDescent="0.15">
      <c r="A558">
        <v>150002102</v>
      </c>
      <c r="B558">
        <f>VLOOKUP(A558,'Fox1'!A:F,2,FALSE)</f>
        <v>4</v>
      </c>
      <c r="C558" t="str">
        <f>VLOOKUP(A558,'Fox1'!A:E,5,FALSE)</f>
        <v>Skin Implant</v>
      </c>
      <c r="D558" t="str">
        <f>VLOOKUP(A558,'Fox1'!A:F,6,FALSE)</f>
        <v>-60% damage from zombies to your squad. Last 6 seconds</v>
      </c>
      <c r="E558">
        <f t="shared" si="16"/>
        <v>15</v>
      </c>
      <c r="F558">
        <f t="shared" si="17"/>
        <v>1500</v>
      </c>
      <c r="G558" t="str">
        <f>VLOOKUP(E558,DATA!A:C,3,FALSE)</f>
        <v>Super</v>
      </c>
      <c r="H558" t="str">
        <f>VLOOKUP(MID(A558,LEN(A558)-2,1)*1,DATA!G:H,2,FALSE)</f>
        <v>PVE</v>
      </c>
      <c r="I558" t="str">
        <f>VLOOKUP(F558,DATA!B:D,3,FALSE)</f>
        <v>Super</v>
      </c>
    </row>
    <row r="559" spans="1:9" x14ac:dyDescent="0.15">
      <c r="A559">
        <v>150002103</v>
      </c>
      <c r="B559">
        <f>VLOOKUP(A559,'Fox1'!A:F,2,FALSE)</f>
        <v>5</v>
      </c>
      <c r="C559" t="str">
        <f>VLOOKUP(A559,'Fox1'!A:E,5,FALSE)</f>
        <v>Skin Implant</v>
      </c>
      <c r="D559" t="str">
        <f>VLOOKUP(A559,'Fox1'!A:F,6,FALSE)</f>
        <v>-70% damage from zombies to your squad. Last 6 seconds</v>
      </c>
      <c r="E559">
        <f t="shared" si="16"/>
        <v>15</v>
      </c>
      <c r="F559">
        <f t="shared" si="17"/>
        <v>1500</v>
      </c>
      <c r="G559" t="str">
        <f>VLOOKUP(E559,DATA!A:C,3,FALSE)</f>
        <v>Super</v>
      </c>
      <c r="H559" t="str">
        <f>VLOOKUP(MID(A559,LEN(A559)-2,1)*1,DATA!G:H,2,FALSE)</f>
        <v>PVE</v>
      </c>
      <c r="I559" t="str">
        <f>VLOOKUP(F559,DATA!B:D,3,FALSE)</f>
        <v>Super</v>
      </c>
    </row>
    <row r="560" spans="1:9" x14ac:dyDescent="0.15">
      <c r="A560">
        <v>150003001</v>
      </c>
      <c r="B560">
        <f>VLOOKUP(A560,'Fox1'!A:F,2,FALSE)</f>
        <v>3</v>
      </c>
      <c r="C560" t="str">
        <f>VLOOKUP(A560,'Fox1'!A:E,5,FALSE)</f>
        <v>Tracker</v>
      </c>
      <c r="D560" t="str">
        <f>VLOOKUP(A560,'Fox1'!A:F,6,FALSE)</f>
        <v>Assualt rifle that can lock on enemies in large front sight.</v>
      </c>
      <c r="E560">
        <f t="shared" si="16"/>
        <v>15</v>
      </c>
      <c r="F560">
        <f t="shared" si="17"/>
        <v>1500</v>
      </c>
      <c r="G560" t="str">
        <f>VLOOKUP(E560,DATA!A:C,3,FALSE)</f>
        <v>Super</v>
      </c>
      <c r="H560" t="str">
        <f>VLOOKUP(MID(A560,LEN(A560)-2,1)*1,DATA!G:H,2,FALSE)</f>
        <v>PVP</v>
      </c>
      <c r="I560" t="str">
        <f>VLOOKUP(F560,DATA!B:D,3,FALSE)</f>
        <v>Super</v>
      </c>
    </row>
    <row r="561" spans="1:9" x14ac:dyDescent="0.15">
      <c r="A561">
        <v>150003002</v>
      </c>
      <c r="B561">
        <f>VLOOKUP(A561,'Fox1'!A:F,2,FALSE)</f>
        <v>4</v>
      </c>
      <c r="C561" t="str">
        <f>VLOOKUP(A561,'Fox1'!A:E,5,FALSE)</f>
        <v>Tracker</v>
      </c>
      <c r="D561" t="str">
        <f>VLOOKUP(A561,'Fox1'!A:F,6,FALSE)</f>
        <v>Assualt rifle that can lock on enemies in large front sight.</v>
      </c>
      <c r="E561">
        <f t="shared" si="16"/>
        <v>15</v>
      </c>
      <c r="F561">
        <f t="shared" si="17"/>
        <v>1500</v>
      </c>
      <c r="G561" t="str">
        <f>VLOOKUP(E561,DATA!A:C,3,FALSE)</f>
        <v>Super</v>
      </c>
      <c r="H561" t="str">
        <f>VLOOKUP(MID(A561,LEN(A561)-2,1)*1,DATA!G:H,2,FALSE)</f>
        <v>PVP</v>
      </c>
      <c r="I561" t="str">
        <f>VLOOKUP(F561,DATA!B:D,3,FALSE)</f>
        <v>Super</v>
      </c>
    </row>
    <row r="562" spans="1:9" x14ac:dyDescent="0.15">
      <c r="A562">
        <v>150003003</v>
      </c>
      <c r="B562">
        <f>VLOOKUP(A562,'Fox1'!A:F,2,FALSE)</f>
        <v>5</v>
      </c>
      <c r="C562" t="str">
        <f>VLOOKUP(A562,'Fox1'!A:E,5,FALSE)</f>
        <v>Tracker</v>
      </c>
      <c r="D562" t="str">
        <f>VLOOKUP(A562,'Fox1'!A:F,6,FALSE)</f>
        <v>Assualt rifle that can lock on enemies in large front sight.</v>
      </c>
      <c r="E562">
        <f t="shared" si="16"/>
        <v>15</v>
      </c>
      <c r="F562">
        <f t="shared" si="17"/>
        <v>1500</v>
      </c>
      <c r="G562" t="str">
        <f>VLOOKUP(E562,DATA!A:C,3,FALSE)</f>
        <v>Super</v>
      </c>
      <c r="H562" t="str">
        <f>VLOOKUP(MID(A562,LEN(A562)-2,1)*1,DATA!G:H,2,FALSE)</f>
        <v>PVP</v>
      </c>
      <c r="I562" t="str">
        <f>VLOOKUP(F562,DATA!B:D,3,FALSE)</f>
        <v>Super</v>
      </c>
    </row>
    <row r="563" spans="1:9" x14ac:dyDescent="0.15">
      <c r="A563">
        <v>150003101</v>
      </c>
      <c r="B563">
        <f>VLOOKUP(A563,'Fox1'!A:F,2,FALSE)</f>
        <v>3</v>
      </c>
      <c r="C563" t="str">
        <f>VLOOKUP(A563,'Fox1'!A:E,5,FALSE)</f>
        <v>Medic</v>
      </c>
      <c r="D563" t="str">
        <f>VLOOKUP(A563,'Fox1'!A:F,6,FALSE)</f>
        <v>Deploy a station that heal your squad for 4% HP per second. Last 20 seconds.</v>
      </c>
      <c r="E563">
        <f t="shared" si="16"/>
        <v>15</v>
      </c>
      <c r="F563">
        <f t="shared" si="17"/>
        <v>1500</v>
      </c>
      <c r="G563" t="str">
        <f>VLOOKUP(E563,DATA!A:C,3,FALSE)</f>
        <v>Super</v>
      </c>
      <c r="H563" t="str">
        <f>VLOOKUP(MID(A563,LEN(A563)-2,1)*1,DATA!G:H,2,FALSE)</f>
        <v>PVE</v>
      </c>
      <c r="I563" t="str">
        <f>VLOOKUP(F563,DATA!B:D,3,FALSE)</f>
        <v>Super</v>
      </c>
    </row>
    <row r="564" spans="1:9" x14ac:dyDescent="0.15">
      <c r="A564">
        <v>150003102</v>
      </c>
      <c r="B564">
        <f>VLOOKUP(A564,'Fox1'!A:F,2,FALSE)</f>
        <v>4</v>
      </c>
      <c r="C564" t="str">
        <f>VLOOKUP(A564,'Fox1'!A:E,5,FALSE)</f>
        <v>Medic</v>
      </c>
      <c r="D564" t="str">
        <f>VLOOKUP(A564,'Fox1'!A:F,6,FALSE)</f>
        <v>Deploy a station that heal your squad for 6% HP per second. Last 20 seconds.</v>
      </c>
      <c r="E564">
        <f t="shared" si="16"/>
        <v>15</v>
      </c>
      <c r="F564">
        <f t="shared" si="17"/>
        <v>1500</v>
      </c>
      <c r="G564" t="str">
        <f>VLOOKUP(E564,DATA!A:C,3,FALSE)</f>
        <v>Super</v>
      </c>
      <c r="H564" t="str">
        <f>VLOOKUP(MID(A564,LEN(A564)-2,1)*1,DATA!G:H,2,FALSE)</f>
        <v>PVE</v>
      </c>
      <c r="I564" t="str">
        <f>VLOOKUP(F564,DATA!B:D,3,FALSE)</f>
        <v>Super</v>
      </c>
    </row>
    <row r="565" spans="1:9" x14ac:dyDescent="0.15">
      <c r="A565">
        <v>150003103</v>
      </c>
      <c r="B565">
        <f>VLOOKUP(A565,'Fox1'!A:F,2,FALSE)</f>
        <v>5</v>
      </c>
      <c r="C565" t="str">
        <f>VLOOKUP(A565,'Fox1'!A:E,5,FALSE)</f>
        <v>Medic</v>
      </c>
      <c r="D565" t="str">
        <f>VLOOKUP(A565,'Fox1'!A:F,6,FALSE)</f>
        <v>Deploy a station that heal your squad for 8% HP per second. Last 20 seconds.</v>
      </c>
      <c r="E565">
        <f t="shared" si="16"/>
        <v>15</v>
      </c>
      <c r="F565">
        <f t="shared" si="17"/>
        <v>1500</v>
      </c>
      <c r="G565" t="str">
        <f>VLOOKUP(E565,DATA!A:C,3,FALSE)</f>
        <v>Super</v>
      </c>
      <c r="H565" t="str">
        <f>VLOOKUP(MID(A565,LEN(A565)-2,1)*1,DATA!G:H,2,FALSE)</f>
        <v>PVE</v>
      </c>
      <c r="I565" t="str">
        <f>VLOOKUP(F565,DATA!B:D,3,FALSE)</f>
        <v>Super</v>
      </c>
    </row>
    <row r="566" spans="1:9" x14ac:dyDescent="0.15">
      <c r="A566">
        <v>150004001</v>
      </c>
      <c r="B566">
        <f>VLOOKUP(A566,'Fox1'!A:F,2,FALSE)</f>
        <v>3</v>
      </c>
      <c r="C566" t="str">
        <f>VLOOKUP(A566,'Fox1'!A:E,5,FALSE)</f>
        <v>Scythe</v>
      </c>
      <c r="D566" t="str">
        <f>VLOOKUP(A566,'Fox1'!A:F,6,FALSE)</f>
        <v>Your own personal handheld minigun that will slowly increase accuracy as long as the fire button is held down.</v>
      </c>
      <c r="E566">
        <f t="shared" si="16"/>
        <v>15</v>
      </c>
      <c r="F566">
        <f t="shared" si="17"/>
        <v>1500</v>
      </c>
      <c r="G566" t="str">
        <f>VLOOKUP(E566,DATA!A:C,3,FALSE)</f>
        <v>Super</v>
      </c>
      <c r="H566" t="str">
        <f>VLOOKUP(MID(A566,LEN(A566)-2,1)*1,DATA!G:H,2,FALSE)</f>
        <v>PVP</v>
      </c>
      <c r="I566" t="str">
        <f>VLOOKUP(F566,DATA!B:D,3,FALSE)</f>
        <v>Super</v>
      </c>
    </row>
    <row r="567" spans="1:9" x14ac:dyDescent="0.15">
      <c r="A567">
        <v>150004002</v>
      </c>
      <c r="B567">
        <f>VLOOKUP(A567,'Fox1'!A:F,2,FALSE)</f>
        <v>4</v>
      </c>
      <c r="C567" t="str">
        <f>VLOOKUP(A567,'Fox1'!A:E,5,FALSE)</f>
        <v>Scythe</v>
      </c>
      <c r="D567" t="str">
        <f>VLOOKUP(A567,'Fox1'!A:F,6,FALSE)</f>
        <v>Your own personal handheld minigun that will slowly increase accuracy as long as the fire button is held down.</v>
      </c>
      <c r="E567">
        <f t="shared" si="16"/>
        <v>15</v>
      </c>
      <c r="F567">
        <f t="shared" si="17"/>
        <v>1500</v>
      </c>
      <c r="G567" t="str">
        <f>VLOOKUP(E567,DATA!A:C,3,FALSE)</f>
        <v>Super</v>
      </c>
      <c r="H567" t="str">
        <f>VLOOKUP(MID(A567,LEN(A567)-2,1)*1,DATA!G:H,2,FALSE)</f>
        <v>PVP</v>
      </c>
      <c r="I567" t="str">
        <f>VLOOKUP(F567,DATA!B:D,3,FALSE)</f>
        <v>Super</v>
      </c>
    </row>
    <row r="568" spans="1:9" x14ac:dyDescent="0.15">
      <c r="A568">
        <v>150004003</v>
      </c>
      <c r="B568">
        <f>VLOOKUP(A568,'Fox1'!A:F,2,FALSE)</f>
        <v>5</v>
      </c>
      <c r="C568" t="str">
        <f>VLOOKUP(A568,'Fox1'!A:E,5,FALSE)</f>
        <v>Scythe</v>
      </c>
      <c r="D568" t="str">
        <f>VLOOKUP(A568,'Fox1'!A:F,6,FALSE)</f>
        <v>Your own personal handheld minigun that will slowly increase accuracy as long as the fire button is held down.</v>
      </c>
      <c r="E568">
        <f t="shared" si="16"/>
        <v>15</v>
      </c>
      <c r="F568">
        <f t="shared" si="17"/>
        <v>1500</v>
      </c>
      <c r="G568" t="str">
        <f>VLOOKUP(E568,DATA!A:C,3,FALSE)</f>
        <v>Super</v>
      </c>
      <c r="H568" t="str">
        <f>VLOOKUP(MID(A568,LEN(A568)-2,1)*1,DATA!G:H,2,FALSE)</f>
        <v>PVP</v>
      </c>
      <c r="I568" t="str">
        <f>VLOOKUP(F568,DATA!B:D,3,FALSE)</f>
        <v>Super</v>
      </c>
    </row>
    <row r="569" spans="1:9" x14ac:dyDescent="0.15">
      <c r="A569">
        <v>150004101</v>
      </c>
      <c r="B569">
        <f>VLOOKUP(A569,'Fox1'!A:F,2,FALSE)</f>
        <v>4</v>
      </c>
      <c r="C569" t="str">
        <f>VLOOKUP(A569,'Fox1'!A:E,5,FALSE)</f>
        <v>MetalStorm</v>
      </c>
      <c r="D569" t="str">
        <f>VLOOKUP(A569,'Fox1'!A:F,6,FALSE)</f>
        <v>Your squad will allow weapon to be fired without any ammo in the magazine for 10 seconds.</v>
      </c>
      <c r="E569">
        <f t="shared" si="16"/>
        <v>15</v>
      </c>
      <c r="F569">
        <f t="shared" si="17"/>
        <v>1500</v>
      </c>
      <c r="G569" t="str">
        <f>VLOOKUP(E569,DATA!A:C,3,FALSE)</f>
        <v>Super</v>
      </c>
      <c r="H569" t="str">
        <f>VLOOKUP(MID(A569,LEN(A569)-2,1)*1,DATA!G:H,2,FALSE)</f>
        <v>PVE</v>
      </c>
      <c r="I569" t="str">
        <f>VLOOKUP(F569,DATA!B:D,3,FALSE)</f>
        <v>Super</v>
      </c>
    </row>
    <row r="570" spans="1:9" x14ac:dyDescent="0.15">
      <c r="A570">
        <v>150005001</v>
      </c>
      <c r="B570">
        <f>VLOOKUP(A570,'Fox1'!A:F,2,FALSE)</f>
        <v>3</v>
      </c>
      <c r="C570" t="str">
        <f>VLOOKUP(A570,'Fox1'!A:E,5,FALSE)</f>
        <v>Dead Shot</v>
      </c>
      <c r="D570" t="str">
        <f>VLOOKUP(A570,'Fox1'!A:F,6,FALSE)</f>
        <v>A sniper rifle that can shoot heat to track bullets.</v>
      </c>
      <c r="E570">
        <f t="shared" si="16"/>
        <v>15</v>
      </c>
      <c r="F570">
        <f t="shared" si="17"/>
        <v>1500</v>
      </c>
      <c r="G570" t="str">
        <f>VLOOKUP(E570,DATA!A:C,3,FALSE)</f>
        <v>Super</v>
      </c>
      <c r="H570" t="str">
        <f>VLOOKUP(MID(A570,LEN(A570)-2,1)*1,DATA!G:H,2,FALSE)</f>
        <v>PVP</v>
      </c>
      <c r="I570" t="str">
        <f>VLOOKUP(F570,DATA!B:D,3,FALSE)</f>
        <v>Super</v>
      </c>
    </row>
    <row r="571" spans="1:9" x14ac:dyDescent="0.15">
      <c r="A571">
        <v>150005002</v>
      </c>
      <c r="B571">
        <f>VLOOKUP(A571,'Fox1'!A:F,2,FALSE)</f>
        <v>4</v>
      </c>
      <c r="C571" t="str">
        <f>VLOOKUP(A571,'Fox1'!A:E,5,FALSE)</f>
        <v>Dead Shot</v>
      </c>
      <c r="D571" t="str">
        <f>VLOOKUP(A571,'Fox1'!A:F,6,FALSE)</f>
        <v>A sniper rifle that can shoot heat to track bullets.</v>
      </c>
      <c r="E571">
        <f t="shared" si="16"/>
        <v>15</v>
      </c>
      <c r="F571">
        <f t="shared" si="17"/>
        <v>1500</v>
      </c>
      <c r="G571" t="str">
        <f>VLOOKUP(E571,DATA!A:C,3,FALSE)</f>
        <v>Super</v>
      </c>
      <c r="H571" t="str">
        <f>VLOOKUP(MID(A571,LEN(A571)-2,1)*1,DATA!G:H,2,FALSE)</f>
        <v>PVP</v>
      </c>
      <c r="I571" t="str">
        <f>VLOOKUP(F571,DATA!B:D,3,FALSE)</f>
        <v>Super</v>
      </c>
    </row>
    <row r="572" spans="1:9" x14ac:dyDescent="0.15">
      <c r="A572">
        <v>150005003</v>
      </c>
      <c r="B572">
        <f>VLOOKUP(A572,'Fox1'!A:F,2,FALSE)</f>
        <v>5</v>
      </c>
      <c r="C572" t="str">
        <f>VLOOKUP(A572,'Fox1'!A:E,5,FALSE)</f>
        <v>Dead Shot</v>
      </c>
      <c r="D572" t="str">
        <f>VLOOKUP(A572,'Fox1'!A:F,6,FALSE)</f>
        <v>A sniper rifle that can shoot heat to track bullets.</v>
      </c>
      <c r="E572">
        <f t="shared" si="16"/>
        <v>15</v>
      </c>
      <c r="F572">
        <f t="shared" si="17"/>
        <v>1500</v>
      </c>
      <c r="G572" t="str">
        <f>VLOOKUP(E572,DATA!A:C,3,FALSE)</f>
        <v>Super</v>
      </c>
      <c r="H572" t="str">
        <f>VLOOKUP(MID(A572,LEN(A572)-2,1)*1,DATA!G:H,2,FALSE)</f>
        <v>PVP</v>
      </c>
      <c r="I572" t="str">
        <f>VLOOKUP(F572,DATA!B:D,3,FALSE)</f>
        <v>Super</v>
      </c>
    </row>
    <row r="573" spans="1:9" x14ac:dyDescent="0.15">
      <c r="A573">
        <v>150005101</v>
      </c>
      <c r="B573">
        <f>VLOOKUP(A573,'Fox1'!A:F,2,FALSE)</f>
        <v>3</v>
      </c>
      <c r="C573" t="str">
        <f>VLOOKUP(A573,'Fox1'!A:E,5,FALSE)</f>
        <v>Deadeye</v>
      </c>
      <c r="D573" t="str">
        <f>VLOOKUP(A573,'Fox1'!A:F,6,FALSE)</f>
        <v>Be easy to shoot the head of zombie. Last 10 seconds.</v>
      </c>
      <c r="E573">
        <f t="shared" si="16"/>
        <v>15</v>
      </c>
      <c r="F573">
        <f t="shared" si="17"/>
        <v>1500</v>
      </c>
      <c r="G573" t="str">
        <f>VLOOKUP(E573,DATA!A:C,3,FALSE)</f>
        <v>Super</v>
      </c>
      <c r="H573" t="str">
        <f>VLOOKUP(MID(A573,LEN(A573)-2,1)*1,DATA!G:H,2,FALSE)</f>
        <v>PVE</v>
      </c>
      <c r="I573" t="str">
        <f>VLOOKUP(F573,DATA!B:D,3,FALSE)</f>
        <v>Super</v>
      </c>
    </row>
    <row r="574" spans="1:9" x14ac:dyDescent="0.15">
      <c r="A574">
        <v>150006101</v>
      </c>
      <c r="B574">
        <f>VLOOKUP(A574,'Fox1'!A:F,2,FALSE)</f>
        <v>3</v>
      </c>
      <c r="C574" t="str">
        <f>VLOOKUP(A574,'Fox1'!A:E,5,FALSE)</f>
        <v>Decoy</v>
      </c>
      <c r="D574" t="str">
        <f>VLOOKUP(A574,'Fox1'!A:F,6,FALSE)</f>
        <v>Throw out a decoy on the ground that will last up to 5 seconds. Zombie target the decoy and ignoring the player.</v>
      </c>
      <c r="E574">
        <f t="shared" si="16"/>
        <v>15</v>
      </c>
      <c r="F574">
        <f t="shared" si="17"/>
        <v>1500</v>
      </c>
      <c r="G574" t="str">
        <f>VLOOKUP(E574,DATA!A:C,3,FALSE)</f>
        <v>Super</v>
      </c>
      <c r="H574" t="str">
        <f>VLOOKUP(MID(A574,LEN(A574)-2,1)*1,DATA!G:H,2,FALSE)</f>
        <v>PVE</v>
      </c>
      <c r="I574" t="str">
        <f>VLOOKUP(F574,DATA!B:D,3,FALSE)</f>
        <v>Super</v>
      </c>
    </row>
    <row r="575" spans="1:9" x14ac:dyDescent="0.15">
      <c r="A575">
        <v>150006102</v>
      </c>
      <c r="B575">
        <f>VLOOKUP(A575,'Fox1'!A:F,2,FALSE)</f>
        <v>4</v>
      </c>
      <c r="C575" t="str">
        <f>VLOOKUP(A575,'Fox1'!A:E,5,FALSE)</f>
        <v>Decoy</v>
      </c>
      <c r="D575" t="str">
        <f>VLOOKUP(A575,'Fox1'!A:F,6,FALSE)</f>
        <v>Throw out a decoy on the ground that will last up to 10 seconds. Zombie target the decoy and ignoring the player.</v>
      </c>
      <c r="E575">
        <f t="shared" si="16"/>
        <v>15</v>
      </c>
      <c r="F575">
        <f t="shared" si="17"/>
        <v>1500</v>
      </c>
      <c r="G575" t="str">
        <f>VLOOKUP(E575,DATA!A:C,3,FALSE)</f>
        <v>Super</v>
      </c>
      <c r="H575" t="str">
        <f>VLOOKUP(MID(A575,LEN(A575)-2,1)*1,DATA!G:H,2,FALSE)</f>
        <v>PVE</v>
      </c>
      <c r="I575" t="str">
        <f>VLOOKUP(F575,DATA!B:D,3,FALSE)</f>
        <v>Super</v>
      </c>
    </row>
    <row r="576" spans="1:9" x14ac:dyDescent="0.15">
      <c r="A576">
        <v>150006103</v>
      </c>
      <c r="B576">
        <f>VLOOKUP(A576,'Fox1'!A:F,2,FALSE)</f>
        <v>5</v>
      </c>
      <c r="C576" t="str">
        <f>VLOOKUP(A576,'Fox1'!A:E,5,FALSE)</f>
        <v>Decoy</v>
      </c>
      <c r="D576" t="str">
        <f>VLOOKUP(A576,'Fox1'!A:F,6,FALSE)</f>
        <v>Throw out a decoy with a bomb attached on the ground that will last up to 10 seconds. Zombie target the decoy and ignoring the player. After 10 second the bomb will explode dealing aoe damage.</v>
      </c>
      <c r="E576">
        <f t="shared" si="16"/>
        <v>15</v>
      </c>
      <c r="F576">
        <f t="shared" si="17"/>
        <v>1500</v>
      </c>
      <c r="G576" t="str">
        <f>VLOOKUP(E576,DATA!A:C,3,FALSE)</f>
        <v>Super</v>
      </c>
      <c r="H576" t="str">
        <f>VLOOKUP(MID(A576,LEN(A576)-2,1)*1,DATA!G:H,2,FALSE)</f>
        <v>PVE</v>
      </c>
      <c r="I576" t="str">
        <f>VLOOKUP(F576,DATA!B:D,3,FALSE)</f>
        <v>Super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11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7" sqref="E17"/>
    </sheetView>
  </sheetViews>
  <sheetFormatPr defaultRowHeight="13.5" x14ac:dyDescent="0.15"/>
  <cols>
    <col min="1" max="1" width="10.5" bestFit="1" customWidth="1"/>
    <col min="2" max="2" width="8.5" bestFit="1" customWidth="1"/>
    <col min="3" max="4" width="7.5" bestFit="1" customWidth="1"/>
    <col min="5" max="5" width="23.875" bestFit="1" customWidth="1"/>
    <col min="6" max="6" width="61.5" customWidth="1"/>
    <col min="7" max="7" width="7.375" bestFit="1" customWidth="1"/>
  </cols>
  <sheetData>
    <row r="1" spans="1:7" s="1" customFormat="1" x14ac:dyDescent="0.1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467</v>
      </c>
    </row>
    <row r="2" spans="1:7" x14ac:dyDescent="0.15">
      <c r="A2">
        <v>11001001</v>
      </c>
      <c r="B2">
        <v>3</v>
      </c>
      <c r="C2">
        <v>110</v>
      </c>
      <c r="D2">
        <v>130</v>
      </c>
      <c r="E2" t="s">
        <v>414</v>
      </c>
      <c r="G2">
        <v>0</v>
      </c>
    </row>
    <row r="3" spans="1:7" x14ac:dyDescent="0.15">
      <c r="A3">
        <v>11001002</v>
      </c>
      <c r="B3">
        <v>4</v>
      </c>
      <c r="C3">
        <v>160</v>
      </c>
      <c r="D3">
        <v>180</v>
      </c>
      <c r="E3" t="s">
        <v>414</v>
      </c>
      <c r="G3">
        <v>0</v>
      </c>
    </row>
    <row r="4" spans="1:7" x14ac:dyDescent="0.15">
      <c r="A4">
        <v>11001003</v>
      </c>
      <c r="B4">
        <v>5</v>
      </c>
      <c r="C4">
        <v>230</v>
      </c>
      <c r="D4">
        <v>230</v>
      </c>
      <c r="E4" t="s">
        <v>414</v>
      </c>
      <c r="G4">
        <v>0</v>
      </c>
    </row>
    <row r="5" spans="1:7" x14ac:dyDescent="0.15">
      <c r="A5">
        <v>11001204</v>
      </c>
      <c r="B5">
        <v>5</v>
      </c>
      <c r="E5" t="s">
        <v>469</v>
      </c>
      <c r="G5">
        <v>0</v>
      </c>
    </row>
    <row r="6" spans="1:7" x14ac:dyDescent="0.15">
      <c r="A6">
        <v>11002001</v>
      </c>
      <c r="B6">
        <v>3</v>
      </c>
      <c r="C6">
        <v>110</v>
      </c>
      <c r="D6">
        <v>130</v>
      </c>
      <c r="E6" t="s">
        <v>470</v>
      </c>
      <c r="G6">
        <v>0</v>
      </c>
    </row>
    <row r="7" spans="1:7" x14ac:dyDescent="0.15">
      <c r="A7">
        <v>11002002</v>
      </c>
      <c r="B7">
        <v>4</v>
      </c>
      <c r="C7">
        <v>160</v>
      </c>
      <c r="D7">
        <v>180</v>
      </c>
      <c r="E7" t="s">
        <v>470</v>
      </c>
      <c r="G7">
        <v>0</v>
      </c>
    </row>
    <row r="8" spans="1:7" x14ac:dyDescent="0.15">
      <c r="A8">
        <v>11002003</v>
      </c>
      <c r="B8">
        <v>5</v>
      </c>
      <c r="C8">
        <v>230</v>
      </c>
      <c r="D8">
        <v>230</v>
      </c>
      <c r="E8" t="s">
        <v>470</v>
      </c>
      <c r="G8">
        <v>0</v>
      </c>
    </row>
    <row r="9" spans="1:7" x14ac:dyDescent="0.15">
      <c r="A9">
        <v>11002204</v>
      </c>
      <c r="B9">
        <v>5</v>
      </c>
      <c r="E9" t="s">
        <v>471</v>
      </c>
      <c r="G9">
        <v>0</v>
      </c>
    </row>
    <row r="10" spans="1:7" x14ac:dyDescent="0.15">
      <c r="A10">
        <v>11003001</v>
      </c>
      <c r="B10">
        <v>3</v>
      </c>
      <c r="C10">
        <v>110</v>
      </c>
      <c r="D10">
        <v>130</v>
      </c>
      <c r="E10" t="s">
        <v>208</v>
      </c>
      <c r="G10">
        <v>0</v>
      </c>
    </row>
    <row r="11" spans="1:7" x14ac:dyDescent="0.15">
      <c r="A11">
        <v>11003002</v>
      </c>
      <c r="B11">
        <v>4</v>
      </c>
      <c r="C11">
        <v>160</v>
      </c>
      <c r="D11">
        <v>180</v>
      </c>
      <c r="E11" t="s">
        <v>208</v>
      </c>
      <c r="G11">
        <v>0</v>
      </c>
    </row>
    <row r="12" spans="1:7" x14ac:dyDescent="0.15">
      <c r="A12">
        <v>11003003</v>
      </c>
      <c r="B12">
        <v>5</v>
      </c>
      <c r="C12">
        <v>230</v>
      </c>
      <c r="D12">
        <v>230</v>
      </c>
      <c r="E12" t="s">
        <v>208</v>
      </c>
      <c r="G12">
        <v>0</v>
      </c>
    </row>
    <row r="13" spans="1:7" x14ac:dyDescent="0.15">
      <c r="A13">
        <v>11004001</v>
      </c>
      <c r="B13">
        <v>3</v>
      </c>
      <c r="C13">
        <v>110</v>
      </c>
      <c r="D13">
        <v>130</v>
      </c>
      <c r="E13" t="s">
        <v>472</v>
      </c>
      <c r="G13">
        <v>0</v>
      </c>
    </row>
    <row r="14" spans="1:7" x14ac:dyDescent="0.15">
      <c r="A14">
        <v>11004002</v>
      </c>
      <c r="B14">
        <v>4</v>
      </c>
      <c r="C14">
        <v>160</v>
      </c>
      <c r="D14">
        <v>180</v>
      </c>
      <c r="E14" t="s">
        <v>472</v>
      </c>
      <c r="G14">
        <v>0</v>
      </c>
    </row>
    <row r="15" spans="1:7" x14ac:dyDescent="0.15">
      <c r="A15">
        <v>11004003</v>
      </c>
      <c r="B15">
        <v>5</v>
      </c>
      <c r="C15">
        <v>230</v>
      </c>
      <c r="D15">
        <v>230</v>
      </c>
      <c r="E15" t="s">
        <v>472</v>
      </c>
      <c r="G15">
        <v>0</v>
      </c>
    </row>
    <row r="16" spans="1:7" x14ac:dyDescent="0.15">
      <c r="A16">
        <v>11004204</v>
      </c>
      <c r="B16">
        <v>5</v>
      </c>
      <c r="E16" t="s">
        <v>473</v>
      </c>
      <c r="G16">
        <v>0</v>
      </c>
    </row>
    <row r="17" spans="1:7" x14ac:dyDescent="0.15">
      <c r="A17">
        <v>11005001</v>
      </c>
      <c r="B17">
        <v>3</v>
      </c>
      <c r="C17">
        <v>110</v>
      </c>
      <c r="D17">
        <v>130</v>
      </c>
      <c r="E17" t="s">
        <v>474</v>
      </c>
      <c r="G17">
        <v>0</v>
      </c>
    </row>
    <row r="18" spans="1:7" x14ac:dyDescent="0.15">
      <c r="A18">
        <v>11005002</v>
      </c>
      <c r="B18">
        <v>4</v>
      </c>
      <c r="C18">
        <v>160</v>
      </c>
      <c r="D18">
        <v>180</v>
      </c>
      <c r="E18" t="s">
        <v>474</v>
      </c>
      <c r="G18">
        <v>0</v>
      </c>
    </row>
    <row r="19" spans="1:7" x14ac:dyDescent="0.15">
      <c r="A19">
        <v>11005003</v>
      </c>
      <c r="B19">
        <v>5</v>
      </c>
      <c r="C19">
        <v>230</v>
      </c>
      <c r="D19">
        <v>230</v>
      </c>
      <c r="E19" t="s">
        <v>474</v>
      </c>
      <c r="G19">
        <v>0</v>
      </c>
    </row>
    <row r="20" spans="1:7" x14ac:dyDescent="0.15">
      <c r="A20">
        <v>11006001</v>
      </c>
      <c r="B20">
        <v>2</v>
      </c>
      <c r="C20">
        <v>70</v>
      </c>
      <c r="D20">
        <v>90</v>
      </c>
      <c r="E20" t="s">
        <v>475</v>
      </c>
      <c r="G20">
        <v>0</v>
      </c>
    </row>
    <row r="21" spans="1:7" x14ac:dyDescent="0.15">
      <c r="A21">
        <v>10101001</v>
      </c>
      <c r="B21">
        <v>2</v>
      </c>
      <c r="C21">
        <v>70</v>
      </c>
      <c r="D21">
        <v>90</v>
      </c>
      <c r="E21" t="s">
        <v>476</v>
      </c>
      <c r="F21" t="s">
        <v>477</v>
      </c>
      <c r="G21">
        <v>1</v>
      </c>
    </row>
    <row r="22" spans="1:7" x14ac:dyDescent="0.15">
      <c r="A22">
        <v>10101002</v>
      </c>
      <c r="B22">
        <v>3</v>
      </c>
      <c r="C22">
        <v>110</v>
      </c>
      <c r="D22">
        <v>130</v>
      </c>
      <c r="E22" t="s">
        <v>476</v>
      </c>
      <c r="F22" t="s">
        <v>477</v>
      </c>
      <c r="G22">
        <v>1</v>
      </c>
    </row>
    <row r="23" spans="1:7" x14ac:dyDescent="0.15">
      <c r="A23">
        <v>10101003</v>
      </c>
      <c r="B23">
        <v>4</v>
      </c>
      <c r="C23">
        <v>160</v>
      </c>
      <c r="D23">
        <v>180</v>
      </c>
      <c r="E23" t="s">
        <v>476</v>
      </c>
      <c r="F23" t="s">
        <v>477</v>
      </c>
      <c r="G23">
        <v>1</v>
      </c>
    </row>
    <row r="24" spans="1:7" x14ac:dyDescent="0.15">
      <c r="A24">
        <v>10101004</v>
      </c>
      <c r="B24">
        <v>5</v>
      </c>
      <c r="C24">
        <v>230</v>
      </c>
      <c r="D24">
        <v>230</v>
      </c>
      <c r="E24" t="s">
        <v>476</v>
      </c>
      <c r="F24" t="s">
        <v>477</v>
      </c>
      <c r="G24">
        <v>1</v>
      </c>
    </row>
    <row r="25" spans="1:7" x14ac:dyDescent="0.15">
      <c r="A25">
        <v>10101005</v>
      </c>
      <c r="B25">
        <v>1</v>
      </c>
      <c r="C25">
        <v>30</v>
      </c>
      <c r="D25">
        <v>50</v>
      </c>
      <c r="E25" t="s">
        <v>476</v>
      </c>
      <c r="F25" t="s">
        <v>477</v>
      </c>
      <c r="G25">
        <v>1</v>
      </c>
    </row>
    <row r="26" spans="1:7" x14ac:dyDescent="0.15">
      <c r="A26">
        <v>10102001</v>
      </c>
      <c r="B26">
        <v>2</v>
      </c>
      <c r="C26">
        <v>70</v>
      </c>
      <c r="D26">
        <v>90</v>
      </c>
      <c r="E26" t="s">
        <v>478</v>
      </c>
      <c r="F26" t="s">
        <v>9</v>
      </c>
      <c r="G26">
        <v>1</v>
      </c>
    </row>
    <row r="27" spans="1:7" x14ac:dyDescent="0.15">
      <c r="A27">
        <v>10102002</v>
      </c>
      <c r="B27">
        <v>3</v>
      </c>
      <c r="C27">
        <v>110</v>
      </c>
      <c r="D27">
        <v>130</v>
      </c>
      <c r="E27" t="s">
        <v>478</v>
      </c>
      <c r="F27" t="s">
        <v>9</v>
      </c>
      <c r="G27">
        <v>1</v>
      </c>
    </row>
    <row r="28" spans="1:7" x14ac:dyDescent="0.15">
      <c r="A28">
        <v>10102003</v>
      </c>
      <c r="B28">
        <v>4</v>
      </c>
      <c r="C28">
        <v>160</v>
      </c>
      <c r="D28">
        <v>180</v>
      </c>
      <c r="E28" t="s">
        <v>478</v>
      </c>
      <c r="F28" t="s">
        <v>9</v>
      </c>
      <c r="G28">
        <v>1</v>
      </c>
    </row>
    <row r="29" spans="1:7" x14ac:dyDescent="0.15">
      <c r="A29">
        <v>10102004</v>
      </c>
      <c r="B29">
        <v>5</v>
      </c>
      <c r="C29">
        <v>230</v>
      </c>
      <c r="D29">
        <v>230</v>
      </c>
      <c r="E29" t="s">
        <v>478</v>
      </c>
      <c r="F29" t="s">
        <v>9</v>
      </c>
      <c r="G29">
        <v>1</v>
      </c>
    </row>
    <row r="30" spans="1:7" x14ac:dyDescent="0.15">
      <c r="A30">
        <v>10102005</v>
      </c>
      <c r="B30">
        <v>1</v>
      </c>
      <c r="C30">
        <v>30</v>
      </c>
      <c r="D30">
        <v>50</v>
      </c>
      <c r="E30" t="s">
        <v>478</v>
      </c>
      <c r="F30" t="s">
        <v>9</v>
      </c>
      <c r="G30">
        <v>1</v>
      </c>
    </row>
    <row r="31" spans="1:7" x14ac:dyDescent="0.15">
      <c r="A31">
        <v>10102050</v>
      </c>
      <c r="B31">
        <v>5</v>
      </c>
      <c r="C31">
        <v>230</v>
      </c>
      <c r="D31">
        <v>230</v>
      </c>
      <c r="E31" t="s">
        <v>478</v>
      </c>
      <c r="F31" t="s">
        <v>9</v>
      </c>
      <c r="G31">
        <v>0</v>
      </c>
    </row>
    <row r="32" spans="1:7" x14ac:dyDescent="0.15">
      <c r="A32">
        <v>10103001</v>
      </c>
      <c r="B32">
        <v>2</v>
      </c>
      <c r="C32">
        <v>70</v>
      </c>
      <c r="D32">
        <v>90</v>
      </c>
      <c r="E32" t="s">
        <v>10</v>
      </c>
      <c r="F32" t="s">
        <v>11</v>
      </c>
      <c r="G32">
        <v>1</v>
      </c>
    </row>
    <row r="33" spans="1:7" x14ac:dyDescent="0.15">
      <c r="A33">
        <v>10103002</v>
      </c>
      <c r="B33">
        <v>3</v>
      </c>
      <c r="C33">
        <v>110</v>
      </c>
      <c r="D33">
        <v>130</v>
      </c>
      <c r="E33" t="s">
        <v>10</v>
      </c>
      <c r="F33" t="s">
        <v>11</v>
      </c>
      <c r="G33">
        <v>1</v>
      </c>
    </row>
    <row r="34" spans="1:7" x14ac:dyDescent="0.15">
      <c r="A34">
        <v>10103003</v>
      </c>
      <c r="B34">
        <v>4</v>
      </c>
      <c r="C34">
        <v>160</v>
      </c>
      <c r="D34">
        <v>180</v>
      </c>
      <c r="E34" t="s">
        <v>10</v>
      </c>
      <c r="F34" t="s">
        <v>11</v>
      </c>
      <c r="G34">
        <v>1</v>
      </c>
    </row>
    <row r="35" spans="1:7" x14ac:dyDescent="0.15">
      <c r="A35">
        <v>10103004</v>
      </c>
      <c r="B35">
        <v>1</v>
      </c>
      <c r="C35">
        <v>30</v>
      </c>
      <c r="D35">
        <v>50</v>
      </c>
      <c r="E35" t="s">
        <v>10</v>
      </c>
      <c r="F35" t="s">
        <v>11</v>
      </c>
      <c r="G35">
        <v>1</v>
      </c>
    </row>
    <row r="36" spans="1:7" x14ac:dyDescent="0.15">
      <c r="A36">
        <v>10104001</v>
      </c>
      <c r="B36">
        <v>2</v>
      </c>
      <c r="C36">
        <v>70</v>
      </c>
      <c r="D36">
        <v>90</v>
      </c>
      <c r="E36" t="s">
        <v>12</v>
      </c>
      <c r="F36" t="s">
        <v>13</v>
      </c>
      <c r="G36">
        <v>1</v>
      </c>
    </row>
    <row r="37" spans="1:7" x14ac:dyDescent="0.15">
      <c r="A37">
        <v>10104002</v>
      </c>
      <c r="B37">
        <v>3</v>
      </c>
      <c r="C37">
        <v>110</v>
      </c>
      <c r="D37">
        <v>130</v>
      </c>
      <c r="E37" t="s">
        <v>12</v>
      </c>
      <c r="F37" t="s">
        <v>13</v>
      </c>
      <c r="G37">
        <v>1</v>
      </c>
    </row>
    <row r="38" spans="1:7" x14ac:dyDescent="0.15">
      <c r="A38">
        <v>10104003</v>
      </c>
      <c r="B38">
        <v>4</v>
      </c>
      <c r="C38">
        <v>160</v>
      </c>
      <c r="D38">
        <v>180</v>
      </c>
      <c r="E38" t="s">
        <v>12</v>
      </c>
      <c r="F38" t="s">
        <v>13</v>
      </c>
      <c r="G38">
        <v>1</v>
      </c>
    </row>
    <row r="39" spans="1:7" x14ac:dyDescent="0.15">
      <c r="A39">
        <v>10104004</v>
      </c>
      <c r="B39">
        <v>1</v>
      </c>
      <c r="C39">
        <v>30</v>
      </c>
      <c r="D39">
        <v>50</v>
      </c>
      <c r="E39" t="s">
        <v>12</v>
      </c>
      <c r="F39" t="s">
        <v>13</v>
      </c>
      <c r="G39">
        <v>1</v>
      </c>
    </row>
    <row r="40" spans="1:7" x14ac:dyDescent="0.15">
      <c r="A40">
        <v>10105001</v>
      </c>
      <c r="B40">
        <v>2</v>
      </c>
      <c r="C40">
        <v>70</v>
      </c>
      <c r="D40">
        <v>90</v>
      </c>
      <c r="E40" t="s">
        <v>479</v>
      </c>
      <c r="F40" t="s">
        <v>14</v>
      </c>
      <c r="G40">
        <v>1</v>
      </c>
    </row>
    <row r="41" spans="1:7" x14ac:dyDescent="0.15">
      <c r="A41">
        <v>10105002</v>
      </c>
      <c r="B41">
        <v>3</v>
      </c>
      <c r="C41">
        <v>110</v>
      </c>
      <c r="D41">
        <v>130</v>
      </c>
      <c r="E41" t="s">
        <v>479</v>
      </c>
      <c r="F41" t="s">
        <v>14</v>
      </c>
      <c r="G41">
        <v>1</v>
      </c>
    </row>
    <row r="42" spans="1:7" x14ac:dyDescent="0.15">
      <c r="A42">
        <v>10105003</v>
      </c>
      <c r="B42">
        <v>4</v>
      </c>
      <c r="C42">
        <v>160</v>
      </c>
      <c r="D42">
        <v>180</v>
      </c>
      <c r="E42" t="s">
        <v>479</v>
      </c>
      <c r="F42" t="s">
        <v>14</v>
      </c>
      <c r="G42">
        <v>1</v>
      </c>
    </row>
    <row r="43" spans="1:7" x14ac:dyDescent="0.15">
      <c r="A43">
        <v>10105004</v>
      </c>
      <c r="B43">
        <v>1</v>
      </c>
      <c r="C43">
        <v>30</v>
      </c>
      <c r="D43">
        <v>50</v>
      </c>
      <c r="E43" t="s">
        <v>479</v>
      </c>
      <c r="F43" t="s">
        <v>14</v>
      </c>
      <c r="G43">
        <v>1</v>
      </c>
    </row>
    <row r="44" spans="1:7" x14ac:dyDescent="0.15">
      <c r="A44">
        <v>10106001</v>
      </c>
      <c r="B44">
        <v>1</v>
      </c>
      <c r="C44">
        <v>30</v>
      </c>
      <c r="D44">
        <v>50</v>
      </c>
      <c r="E44" t="s">
        <v>15</v>
      </c>
      <c r="F44" t="s">
        <v>480</v>
      </c>
      <c r="G44">
        <v>1</v>
      </c>
    </row>
    <row r="45" spans="1:7" x14ac:dyDescent="0.15">
      <c r="A45">
        <v>10106002</v>
      </c>
      <c r="B45">
        <v>2</v>
      </c>
      <c r="C45">
        <v>70</v>
      </c>
      <c r="D45">
        <v>90</v>
      </c>
      <c r="E45" t="s">
        <v>15</v>
      </c>
      <c r="F45" t="s">
        <v>480</v>
      </c>
      <c r="G45">
        <v>1</v>
      </c>
    </row>
    <row r="46" spans="1:7" x14ac:dyDescent="0.15">
      <c r="A46">
        <v>10106003</v>
      </c>
      <c r="B46">
        <v>3</v>
      </c>
      <c r="C46">
        <v>110</v>
      </c>
      <c r="D46">
        <v>130</v>
      </c>
      <c r="E46" t="s">
        <v>15</v>
      </c>
      <c r="F46" t="s">
        <v>480</v>
      </c>
      <c r="G46">
        <v>1</v>
      </c>
    </row>
    <row r="47" spans="1:7" x14ac:dyDescent="0.15">
      <c r="A47">
        <v>10106004</v>
      </c>
      <c r="B47">
        <v>4</v>
      </c>
      <c r="C47">
        <v>160</v>
      </c>
      <c r="D47">
        <v>180</v>
      </c>
      <c r="E47" t="s">
        <v>15</v>
      </c>
      <c r="F47" t="s">
        <v>480</v>
      </c>
      <c r="G47">
        <v>1</v>
      </c>
    </row>
    <row r="48" spans="1:7" x14ac:dyDescent="0.15">
      <c r="A48">
        <v>10107001</v>
      </c>
      <c r="B48">
        <v>1</v>
      </c>
      <c r="C48">
        <v>30</v>
      </c>
      <c r="D48">
        <v>50</v>
      </c>
      <c r="E48" t="s">
        <v>16</v>
      </c>
      <c r="F48" t="s">
        <v>481</v>
      </c>
      <c r="G48">
        <v>1</v>
      </c>
    </row>
    <row r="49" spans="1:7" x14ac:dyDescent="0.15">
      <c r="A49">
        <v>10107002</v>
      </c>
      <c r="B49">
        <v>2</v>
      </c>
      <c r="C49">
        <v>70</v>
      </c>
      <c r="D49">
        <v>90</v>
      </c>
      <c r="E49" t="s">
        <v>16</v>
      </c>
      <c r="F49" t="s">
        <v>481</v>
      </c>
      <c r="G49">
        <v>1</v>
      </c>
    </row>
    <row r="50" spans="1:7" x14ac:dyDescent="0.15">
      <c r="A50">
        <v>10107003</v>
      </c>
      <c r="B50">
        <v>3</v>
      </c>
      <c r="C50">
        <v>110</v>
      </c>
      <c r="D50">
        <v>130</v>
      </c>
      <c r="E50" t="s">
        <v>16</v>
      </c>
      <c r="F50" t="s">
        <v>481</v>
      </c>
      <c r="G50">
        <v>1</v>
      </c>
    </row>
    <row r="51" spans="1:7" x14ac:dyDescent="0.15">
      <c r="A51">
        <v>10107004</v>
      </c>
      <c r="B51">
        <v>4</v>
      </c>
      <c r="C51">
        <v>160</v>
      </c>
      <c r="D51">
        <v>180</v>
      </c>
      <c r="E51" t="s">
        <v>16</v>
      </c>
      <c r="F51" t="s">
        <v>481</v>
      </c>
      <c r="G51">
        <v>1</v>
      </c>
    </row>
    <row r="52" spans="1:7" x14ac:dyDescent="0.15">
      <c r="A52">
        <v>10108001</v>
      </c>
      <c r="B52">
        <v>1</v>
      </c>
      <c r="C52">
        <v>30</v>
      </c>
      <c r="D52">
        <v>50</v>
      </c>
      <c r="E52" t="s">
        <v>482</v>
      </c>
      <c r="F52" t="s">
        <v>483</v>
      </c>
      <c r="G52">
        <v>0</v>
      </c>
    </row>
    <row r="53" spans="1:7" x14ac:dyDescent="0.15">
      <c r="A53">
        <v>10108002</v>
      </c>
      <c r="B53">
        <v>2</v>
      </c>
      <c r="C53">
        <v>70</v>
      </c>
      <c r="D53">
        <v>90</v>
      </c>
      <c r="E53" t="s">
        <v>482</v>
      </c>
      <c r="F53" t="s">
        <v>483</v>
      </c>
      <c r="G53">
        <v>0</v>
      </c>
    </row>
    <row r="54" spans="1:7" x14ac:dyDescent="0.15">
      <c r="A54">
        <v>10108003</v>
      </c>
      <c r="B54">
        <v>3</v>
      </c>
      <c r="C54">
        <v>110</v>
      </c>
      <c r="D54">
        <v>130</v>
      </c>
      <c r="E54" t="s">
        <v>482</v>
      </c>
      <c r="F54" t="s">
        <v>483</v>
      </c>
      <c r="G54">
        <v>0</v>
      </c>
    </row>
    <row r="55" spans="1:7" x14ac:dyDescent="0.15">
      <c r="A55">
        <v>10108004</v>
      </c>
      <c r="B55">
        <v>4</v>
      </c>
      <c r="C55">
        <v>160</v>
      </c>
      <c r="D55">
        <v>180</v>
      </c>
      <c r="E55" t="s">
        <v>482</v>
      </c>
      <c r="F55" t="s">
        <v>483</v>
      </c>
      <c r="G55">
        <v>0</v>
      </c>
    </row>
    <row r="56" spans="1:7" x14ac:dyDescent="0.15">
      <c r="A56">
        <v>10109000</v>
      </c>
      <c r="B56">
        <v>1</v>
      </c>
      <c r="C56">
        <v>30</v>
      </c>
      <c r="D56">
        <v>50</v>
      </c>
      <c r="E56" t="s">
        <v>484</v>
      </c>
      <c r="F56" t="s">
        <v>485</v>
      </c>
      <c r="G56">
        <v>0</v>
      </c>
    </row>
    <row r="57" spans="1:7" x14ac:dyDescent="0.15">
      <c r="A57">
        <v>10109001</v>
      </c>
      <c r="B57">
        <v>1</v>
      </c>
      <c r="C57">
        <v>30</v>
      </c>
      <c r="D57">
        <v>50</v>
      </c>
      <c r="E57" t="s">
        <v>484</v>
      </c>
      <c r="F57" t="s">
        <v>486</v>
      </c>
      <c r="G57">
        <v>0</v>
      </c>
    </row>
    <row r="58" spans="1:7" x14ac:dyDescent="0.15">
      <c r="A58">
        <v>10109002</v>
      </c>
      <c r="B58">
        <v>2</v>
      </c>
      <c r="C58">
        <v>70</v>
      </c>
      <c r="D58">
        <v>90</v>
      </c>
      <c r="E58" t="s">
        <v>484</v>
      </c>
      <c r="F58" t="s">
        <v>486</v>
      </c>
      <c r="G58">
        <v>0</v>
      </c>
    </row>
    <row r="59" spans="1:7" x14ac:dyDescent="0.15">
      <c r="A59">
        <v>10109003</v>
      </c>
      <c r="B59">
        <v>3</v>
      </c>
      <c r="C59">
        <v>110</v>
      </c>
      <c r="D59">
        <v>130</v>
      </c>
      <c r="E59" t="s">
        <v>484</v>
      </c>
      <c r="F59" t="s">
        <v>486</v>
      </c>
      <c r="G59">
        <v>0</v>
      </c>
    </row>
    <row r="60" spans="1:7" x14ac:dyDescent="0.15">
      <c r="A60">
        <v>10109006</v>
      </c>
      <c r="B60">
        <v>3</v>
      </c>
      <c r="C60">
        <v>110</v>
      </c>
      <c r="D60">
        <v>130</v>
      </c>
      <c r="E60" t="s">
        <v>484</v>
      </c>
      <c r="F60" t="s">
        <v>486</v>
      </c>
      <c r="G60">
        <v>0</v>
      </c>
    </row>
    <row r="61" spans="1:7" x14ac:dyDescent="0.15">
      <c r="A61">
        <v>10109004</v>
      </c>
      <c r="B61">
        <v>4</v>
      </c>
      <c r="C61">
        <v>160</v>
      </c>
      <c r="D61">
        <v>180</v>
      </c>
      <c r="E61" t="s">
        <v>484</v>
      </c>
      <c r="F61" t="s">
        <v>486</v>
      </c>
      <c r="G61">
        <v>0</v>
      </c>
    </row>
    <row r="62" spans="1:7" x14ac:dyDescent="0.15">
      <c r="A62">
        <v>10109005</v>
      </c>
      <c r="B62">
        <v>4</v>
      </c>
      <c r="C62">
        <v>160</v>
      </c>
      <c r="D62">
        <v>180</v>
      </c>
      <c r="E62" t="s">
        <v>484</v>
      </c>
      <c r="F62" t="s">
        <v>486</v>
      </c>
      <c r="G62">
        <v>0</v>
      </c>
    </row>
    <row r="63" spans="1:7" x14ac:dyDescent="0.15">
      <c r="A63">
        <v>10110001</v>
      </c>
      <c r="B63">
        <v>1</v>
      </c>
      <c r="C63">
        <v>30</v>
      </c>
      <c r="D63">
        <v>50</v>
      </c>
      <c r="E63" t="s">
        <v>487</v>
      </c>
      <c r="F63" t="s">
        <v>488</v>
      </c>
      <c r="G63">
        <v>0</v>
      </c>
    </row>
    <row r="64" spans="1:7" x14ac:dyDescent="0.15">
      <c r="A64">
        <v>10110002</v>
      </c>
      <c r="B64">
        <v>2</v>
      </c>
      <c r="C64">
        <v>70</v>
      </c>
      <c r="D64">
        <v>90</v>
      </c>
      <c r="E64" t="s">
        <v>487</v>
      </c>
      <c r="F64" t="s">
        <v>488</v>
      </c>
      <c r="G64">
        <v>0</v>
      </c>
    </row>
    <row r="65" spans="1:7" x14ac:dyDescent="0.15">
      <c r="A65">
        <v>10110003</v>
      </c>
      <c r="B65">
        <v>3</v>
      </c>
      <c r="C65">
        <v>110</v>
      </c>
      <c r="D65">
        <v>130</v>
      </c>
      <c r="E65" t="s">
        <v>487</v>
      </c>
      <c r="F65" t="s">
        <v>488</v>
      </c>
      <c r="G65">
        <v>0</v>
      </c>
    </row>
    <row r="66" spans="1:7" x14ac:dyDescent="0.15">
      <c r="A66">
        <v>10110004</v>
      </c>
      <c r="B66">
        <v>4</v>
      </c>
      <c r="C66">
        <v>160</v>
      </c>
      <c r="D66">
        <v>180</v>
      </c>
      <c r="E66" t="s">
        <v>487</v>
      </c>
      <c r="F66" t="s">
        <v>488</v>
      </c>
      <c r="G66">
        <v>0</v>
      </c>
    </row>
    <row r="67" spans="1:7" x14ac:dyDescent="0.15">
      <c r="A67">
        <v>10111001</v>
      </c>
      <c r="B67">
        <v>1</v>
      </c>
      <c r="C67">
        <v>30</v>
      </c>
      <c r="D67">
        <v>50</v>
      </c>
      <c r="E67" t="s">
        <v>489</v>
      </c>
      <c r="F67" t="s">
        <v>490</v>
      </c>
      <c r="G67">
        <v>0</v>
      </c>
    </row>
    <row r="68" spans="1:7" x14ac:dyDescent="0.15">
      <c r="A68">
        <v>10111002</v>
      </c>
      <c r="B68">
        <v>2</v>
      </c>
      <c r="C68">
        <v>70</v>
      </c>
      <c r="D68">
        <v>90</v>
      </c>
      <c r="E68" t="s">
        <v>489</v>
      </c>
      <c r="F68" t="s">
        <v>490</v>
      </c>
      <c r="G68">
        <v>0</v>
      </c>
    </row>
    <row r="69" spans="1:7" x14ac:dyDescent="0.15">
      <c r="A69">
        <v>10111003</v>
      </c>
      <c r="B69">
        <v>3</v>
      </c>
      <c r="C69">
        <v>110</v>
      </c>
      <c r="D69">
        <v>130</v>
      </c>
      <c r="E69" t="s">
        <v>489</v>
      </c>
      <c r="F69" t="s">
        <v>490</v>
      </c>
      <c r="G69">
        <v>0</v>
      </c>
    </row>
    <row r="70" spans="1:7" x14ac:dyDescent="0.15">
      <c r="A70">
        <v>10111004</v>
      </c>
      <c r="B70">
        <v>4</v>
      </c>
      <c r="C70">
        <v>160</v>
      </c>
      <c r="D70">
        <v>180</v>
      </c>
      <c r="E70" t="s">
        <v>489</v>
      </c>
      <c r="F70" t="s">
        <v>490</v>
      </c>
      <c r="G70">
        <v>0</v>
      </c>
    </row>
    <row r="71" spans="1:7" x14ac:dyDescent="0.15">
      <c r="A71">
        <v>10201001</v>
      </c>
      <c r="B71">
        <v>2</v>
      </c>
      <c r="C71">
        <v>70</v>
      </c>
      <c r="D71">
        <v>90</v>
      </c>
      <c r="E71" t="s">
        <v>491</v>
      </c>
      <c r="F71" t="s">
        <v>17</v>
      </c>
      <c r="G71">
        <v>1</v>
      </c>
    </row>
    <row r="72" spans="1:7" x14ac:dyDescent="0.15">
      <c r="A72">
        <v>10201002</v>
      </c>
      <c r="B72">
        <v>3</v>
      </c>
      <c r="C72">
        <v>110</v>
      </c>
      <c r="D72">
        <v>130</v>
      </c>
      <c r="E72" t="s">
        <v>491</v>
      </c>
      <c r="F72" t="s">
        <v>17</v>
      </c>
      <c r="G72">
        <v>1</v>
      </c>
    </row>
    <row r="73" spans="1:7" x14ac:dyDescent="0.15">
      <c r="A73">
        <v>10201003</v>
      </c>
      <c r="B73">
        <v>4</v>
      </c>
      <c r="C73">
        <v>160</v>
      </c>
      <c r="D73">
        <v>180</v>
      </c>
      <c r="E73" t="s">
        <v>491</v>
      </c>
      <c r="F73" t="s">
        <v>17</v>
      </c>
      <c r="G73">
        <v>1</v>
      </c>
    </row>
    <row r="74" spans="1:7" x14ac:dyDescent="0.15">
      <c r="A74">
        <v>10201004</v>
      </c>
      <c r="B74">
        <v>1</v>
      </c>
      <c r="C74">
        <v>30</v>
      </c>
      <c r="D74">
        <v>50</v>
      </c>
      <c r="E74" t="s">
        <v>491</v>
      </c>
      <c r="F74" t="s">
        <v>17</v>
      </c>
      <c r="G74">
        <v>1</v>
      </c>
    </row>
    <row r="75" spans="1:7" x14ac:dyDescent="0.15">
      <c r="A75">
        <v>10202001</v>
      </c>
      <c r="B75">
        <v>2</v>
      </c>
      <c r="C75">
        <v>70</v>
      </c>
      <c r="D75">
        <v>90</v>
      </c>
      <c r="E75" t="s">
        <v>18</v>
      </c>
      <c r="F75" t="s">
        <v>19</v>
      </c>
      <c r="G75">
        <v>1</v>
      </c>
    </row>
    <row r="76" spans="1:7" x14ac:dyDescent="0.15">
      <c r="A76">
        <v>10202002</v>
      </c>
      <c r="B76">
        <v>3</v>
      </c>
      <c r="C76">
        <v>110</v>
      </c>
      <c r="D76">
        <v>130</v>
      </c>
      <c r="E76" t="s">
        <v>18</v>
      </c>
      <c r="F76" t="s">
        <v>19</v>
      </c>
      <c r="G76">
        <v>1</v>
      </c>
    </row>
    <row r="77" spans="1:7" x14ac:dyDescent="0.15">
      <c r="A77">
        <v>10202003</v>
      </c>
      <c r="B77">
        <v>4</v>
      </c>
      <c r="C77">
        <v>160</v>
      </c>
      <c r="D77">
        <v>180</v>
      </c>
      <c r="E77" t="s">
        <v>18</v>
      </c>
      <c r="F77" t="s">
        <v>19</v>
      </c>
      <c r="G77">
        <v>1</v>
      </c>
    </row>
    <row r="78" spans="1:7" x14ac:dyDescent="0.15">
      <c r="A78">
        <v>10202004</v>
      </c>
      <c r="B78">
        <v>5</v>
      </c>
      <c r="C78">
        <v>230</v>
      </c>
      <c r="D78">
        <v>230</v>
      </c>
      <c r="E78" t="s">
        <v>18</v>
      </c>
      <c r="F78" t="s">
        <v>19</v>
      </c>
      <c r="G78">
        <v>1</v>
      </c>
    </row>
    <row r="79" spans="1:7" x14ac:dyDescent="0.15">
      <c r="A79">
        <v>10202005</v>
      </c>
      <c r="B79">
        <v>1</v>
      </c>
      <c r="C79">
        <v>30</v>
      </c>
      <c r="D79">
        <v>50</v>
      </c>
      <c r="E79" t="s">
        <v>18</v>
      </c>
      <c r="F79" t="s">
        <v>19</v>
      </c>
      <c r="G79">
        <v>1</v>
      </c>
    </row>
    <row r="80" spans="1:7" x14ac:dyDescent="0.15">
      <c r="A80">
        <v>10203001</v>
      </c>
      <c r="B80">
        <v>2</v>
      </c>
      <c r="C80">
        <v>70</v>
      </c>
      <c r="D80">
        <v>90</v>
      </c>
      <c r="E80" t="s">
        <v>492</v>
      </c>
      <c r="F80" t="s">
        <v>20</v>
      </c>
      <c r="G80">
        <v>1</v>
      </c>
    </row>
    <row r="81" spans="1:7" x14ac:dyDescent="0.15">
      <c r="A81">
        <v>10203002</v>
      </c>
      <c r="B81">
        <v>3</v>
      </c>
      <c r="C81">
        <v>110</v>
      </c>
      <c r="D81">
        <v>130</v>
      </c>
      <c r="E81" t="s">
        <v>492</v>
      </c>
      <c r="F81" t="s">
        <v>20</v>
      </c>
      <c r="G81">
        <v>1</v>
      </c>
    </row>
    <row r="82" spans="1:7" x14ac:dyDescent="0.15">
      <c r="A82">
        <v>10203003</v>
      </c>
      <c r="B82">
        <v>4</v>
      </c>
      <c r="C82">
        <v>160</v>
      </c>
      <c r="D82">
        <v>180</v>
      </c>
      <c r="E82" t="s">
        <v>492</v>
      </c>
      <c r="F82" t="s">
        <v>20</v>
      </c>
      <c r="G82">
        <v>1</v>
      </c>
    </row>
    <row r="83" spans="1:7" x14ac:dyDescent="0.15">
      <c r="A83">
        <v>10203004</v>
      </c>
      <c r="B83">
        <v>1</v>
      </c>
      <c r="C83">
        <v>30</v>
      </c>
      <c r="D83">
        <v>50</v>
      </c>
      <c r="E83" t="s">
        <v>492</v>
      </c>
      <c r="F83" t="s">
        <v>20</v>
      </c>
      <c r="G83">
        <v>1</v>
      </c>
    </row>
    <row r="84" spans="1:7" x14ac:dyDescent="0.15">
      <c r="A84">
        <v>10204000</v>
      </c>
      <c r="B84">
        <v>1</v>
      </c>
      <c r="C84">
        <v>30</v>
      </c>
      <c r="D84">
        <v>50</v>
      </c>
      <c r="E84" t="s">
        <v>493</v>
      </c>
      <c r="F84" t="s">
        <v>494</v>
      </c>
      <c r="G84">
        <v>0</v>
      </c>
    </row>
    <row r="85" spans="1:7" x14ac:dyDescent="0.15">
      <c r="A85">
        <v>10204001</v>
      </c>
      <c r="B85">
        <v>1</v>
      </c>
      <c r="C85">
        <v>30</v>
      </c>
      <c r="D85">
        <v>50</v>
      </c>
      <c r="E85" t="s">
        <v>493</v>
      </c>
      <c r="F85" t="s">
        <v>495</v>
      </c>
      <c r="G85">
        <v>1</v>
      </c>
    </row>
    <row r="86" spans="1:7" x14ac:dyDescent="0.15">
      <c r="A86">
        <v>10204002</v>
      </c>
      <c r="B86">
        <v>2</v>
      </c>
      <c r="C86">
        <v>70</v>
      </c>
      <c r="D86">
        <v>90</v>
      </c>
      <c r="E86" t="s">
        <v>493</v>
      </c>
      <c r="F86" t="s">
        <v>495</v>
      </c>
      <c r="G86">
        <v>1</v>
      </c>
    </row>
    <row r="87" spans="1:7" x14ac:dyDescent="0.15">
      <c r="A87">
        <v>10204003</v>
      </c>
      <c r="B87">
        <v>3</v>
      </c>
      <c r="C87">
        <v>110</v>
      </c>
      <c r="D87">
        <v>130</v>
      </c>
      <c r="E87" t="s">
        <v>493</v>
      </c>
      <c r="F87" t="s">
        <v>495</v>
      </c>
      <c r="G87">
        <v>1</v>
      </c>
    </row>
    <row r="88" spans="1:7" x14ac:dyDescent="0.15">
      <c r="A88">
        <v>10204004</v>
      </c>
      <c r="B88">
        <v>4</v>
      </c>
      <c r="C88">
        <v>160</v>
      </c>
      <c r="D88">
        <v>180</v>
      </c>
      <c r="E88" t="s">
        <v>493</v>
      </c>
      <c r="F88" t="s">
        <v>495</v>
      </c>
      <c r="G88">
        <v>1</v>
      </c>
    </row>
    <row r="89" spans="1:7" x14ac:dyDescent="0.15">
      <c r="A89">
        <v>10205001</v>
      </c>
      <c r="B89">
        <v>1</v>
      </c>
      <c r="C89">
        <v>30</v>
      </c>
      <c r="D89">
        <v>50</v>
      </c>
      <c r="E89" t="s">
        <v>496</v>
      </c>
      <c r="F89" t="s">
        <v>497</v>
      </c>
      <c r="G89">
        <v>0</v>
      </c>
    </row>
    <row r="90" spans="1:7" x14ac:dyDescent="0.15">
      <c r="A90">
        <v>10205002</v>
      </c>
      <c r="B90">
        <v>2</v>
      </c>
      <c r="C90">
        <v>70</v>
      </c>
      <c r="D90">
        <v>90</v>
      </c>
      <c r="E90" t="s">
        <v>496</v>
      </c>
      <c r="F90" t="s">
        <v>497</v>
      </c>
      <c r="G90">
        <v>0</v>
      </c>
    </row>
    <row r="91" spans="1:7" x14ac:dyDescent="0.15">
      <c r="A91">
        <v>10205003</v>
      </c>
      <c r="B91">
        <v>3</v>
      </c>
      <c r="C91">
        <v>110</v>
      </c>
      <c r="D91">
        <v>130</v>
      </c>
      <c r="E91" t="s">
        <v>496</v>
      </c>
      <c r="F91" t="s">
        <v>497</v>
      </c>
      <c r="G91">
        <v>0</v>
      </c>
    </row>
    <row r="92" spans="1:7" x14ac:dyDescent="0.15">
      <c r="A92">
        <v>10205004</v>
      </c>
      <c r="B92">
        <v>4</v>
      </c>
      <c r="C92">
        <v>160</v>
      </c>
      <c r="D92">
        <v>180</v>
      </c>
      <c r="E92" t="s">
        <v>496</v>
      </c>
      <c r="F92" t="s">
        <v>497</v>
      </c>
      <c r="G92">
        <v>0</v>
      </c>
    </row>
    <row r="93" spans="1:7" x14ac:dyDescent="0.15">
      <c r="A93">
        <v>10206001</v>
      </c>
      <c r="B93">
        <v>1</v>
      </c>
      <c r="C93">
        <v>30</v>
      </c>
      <c r="D93">
        <v>50</v>
      </c>
      <c r="E93" t="s">
        <v>498</v>
      </c>
      <c r="F93" t="s">
        <v>499</v>
      </c>
      <c r="G93">
        <v>0</v>
      </c>
    </row>
    <row r="94" spans="1:7" x14ac:dyDescent="0.15">
      <c r="A94">
        <v>10206002</v>
      </c>
      <c r="B94">
        <v>2</v>
      </c>
      <c r="C94">
        <v>70</v>
      </c>
      <c r="D94">
        <v>90</v>
      </c>
      <c r="E94" t="s">
        <v>498</v>
      </c>
      <c r="F94" t="s">
        <v>499</v>
      </c>
      <c r="G94">
        <v>0</v>
      </c>
    </row>
    <row r="95" spans="1:7" x14ac:dyDescent="0.15">
      <c r="A95">
        <v>10206003</v>
      </c>
      <c r="B95">
        <v>3</v>
      </c>
      <c r="C95">
        <v>110</v>
      </c>
      <c r="D95">
        <v>130</v>
      </c>
      <c r="E95" t="s">
        <v>498</v>
      </c>
      <c r="F95" t="s">
        <v>499</v>
      </c>
      <c r="G95">
        <v>0</v>
      </c>
    </row>
    <row r="96" spans="1:7" x14ac:dyDescent="0.15">
      <c r="A96">
        <v>10206004</v>
      </c>
      <c r="B96">
        <v>4</v>
      </c>
      <c r="C96">
        <v>160</v>
      </c>
      <c r="D96">
        <v>180</v>
      </c>
      <c r="E96" t="s">
        <v>498</v>
      </c>
      <c r="F96" t="s">
        <v>499</v>
      </c>
      <c r="G96">
        <v>0</v>
      </c>
    </row>
    <row r="97" spans="1:7" x14ac:dyDescent="0.15">
      <c r="A97">
        <v>10207001</v>
      </c>
      <c r="B97">
        <v>1</v>
      </c>
      <c r="C97">
        <v>30</v>
      </c>
      <c r="D97">
        <v>50</v>
      </c>
      <c r="E97" t="s">
        <v>500</v>
      </c>
      <c r="F97" t="s">
        <v>499</v>
      </c>
      <c r="G97">
        <v>0</v>
      </c>
    </row>
    <row r="98" spans="1:7" x14ac:dyDescent="0.15">
      <c r="A98">
        <v>10207002</v>
      </c>
      <c r="B98">
        <v>2</v>
      </c>
      <c r="C98">
        <v>70</v>
      </c>
      <c r="D98">
        <v>90</v>
      </c>
      <c r="E98" t="s">
        <v>500</v>
      </c>
      <c r="F98" t="s">
        <v>499</v>
      </c>
      <c r="G98">
        <v>0</v>
      </c>
    </row>
    <row r="99" spans="1:7" x14ac:dyDescent="0.15">
      <c r="A99">
        <v>10207003</v>
      </c>
      <c r="B99">
        <v>3</v>
      </c>
      <c r="C99">
        <v>110</v>
      </c>
      <c r="D99">
        <v>130</v>
      </c>
      <c r="E99" t="s">
        <v>500</v>
      </c>
      <c r="F99" t="s">
        <v>499</v>
      </c>
      <c r="G99">
        <v>0</v>
      </c>
    </row>
    <row r="100" spans="1:7" x14ac:dyDescent="0.15">
      <c r="A100">
        <v>10207004</v>
      </c>
      <c r="B100">
        <v>4</v>
      </c>
      <c r="C100">
        <v>160</v>
      </c>
      <c r="D100">
        <v>180</v>
      </c>
      <c r="E100" t="s">
        <v>500</v>
      </c>
      <c r="F100" t="s">
        <v>499</v>
      </c>
      <c r="G100">
        <v>0</v>
      </c>
    </row>
    <row r="101" spans="1:7" x14ac:dyDescent="0.15">
      <c r="A101">
        <v>10301001</v>
      </c>
      <c r="B101">
        <v>2</v>
      </c>
      <c r="C101">
        <v>70</v>
      </c>
      <c r="D101">
        <v>90</v>
      </c>
      <c r="E101" t="s">
        <v>21</v>
      </c>
      <c r="F101" t="s">
        <v>22</v>
      </c>
      <c r="G101">
        <v>1</v>
      </c>
    </row>
    <row r="102" spans="1:7" x14ac:dyDescent="0.15">
      <c r="A102">
        <v>10301002</v>
      </c>
      <c r="B102">
        <v>3</v>
      </c>
      <c r="C102">
        <v>110</v>
      </c>
      <c r="D102">
        <v>130</v>
      </c>
      <c r="E102" t="s">
        <v>21</v>
      </c>
      <c r="F102" t="s">
        <v>22</v>
      </c>
      <c r="G102">
        <v>1</v>
      </c>
    </row>
    <row r="103" spans="1:7" x14ac:dyDescent="0.15">
      <c r="A103">
        <v>10301003</v>
      </c>
      <c r="B103">
        <v>4</v>
      </c>
      <c r="C103">
        <v>160</v>
      </c>
      <c r="D103">
        <v>180</v>
      </c>
      <c r="E103" t="s">
        <v>21</v>
      </c>
      <c r="F103" t="s">
        <v>22</v>
      </c>
      <c r="G103">
        <v>1</v>
      </c>
    </row>
    <row r="104" spans="1:7" x14ac:dyDescent="0.15">
      <c r="A104">
        <v>10301004</v>
      </c>
      <c r="B104">
        <v>1</v>
      </c>
      <c r="C104">
        <v>30</v>
      </c>
      <c r="D104">
        <v>50</v>
      </c>
      <c r="E104" t="s">
        <v>21</v>
      </c>
      <c r="F104" t="s">
        <v>22</v>
      </c>
      <c r="G104">
        <v>1</v>
      </c>
    </row>
    <row r="105" spans="1:7" x14ac:dyDescent="0.15">
      <c r="A105">
        <v>10302001</v>
      </c>
      <c r="B105">
        <v>2</v>
      </c>
      <c r="C105">
        <v>70</v>
      </c>
      <c r="D105">
        <v>90</v>
      </c>
      <c r="E105" t="s">
        <v>23</v>
      </c>
      <c r="F105" t="s">
        <v>24</v>
      </c>
      <c r="G105">
        <v>1</v>
      </c>
    </row>
    <row r="106" spans="1:7" x14ac:dyDescent="0.15">
      <c r="A106">
        <v>10302002</v>
      </c>
      <c r="B106">
        <v>3</v>
      </c>
      <c r="C106">
        <v>110</v>
      </c>
      <c r="D106">
        <v>130</v>
      </c>
      <c r="E106" t="s">
        <v>23</v>
      </c>
      <c r="F106" t="s">
        <v>24</v>
      </c>
      <c r="G106">
        <v>1</v>
      </c>
    </row>
    <row r="107" spans="1:7" x14ac:dyDescent="0.15">
      <c r="A107">
        <v>10302003</v>
      </c>
      <c r="B107">
        <v>4</v>
      </c>
      <c r="C107">
        <v>160</v>
      </c>
      <c r="D107">
        <v>180</v>
      </c>
      <c r="E107" t="s">
        <v>23</v>
      </c>
      <c r="F107" t="s">
        <v>24</v>
      </c>
      <c r="G107">
        <v>1</v>
      </c>
    </row>
    <row r="108" spans="1:7" x14ac:dyDescent="0.15">
      <c r="A108">
        <v>10302004</v>
      </c>
      <c r="B108">
        <v>1</v>
      </c>
      <c r="C108">
        <v>30</v>
      </c>
      <c r="D108">
        <v>50</v>
      </c>
      <c r="E108" t="s">
        <v>23</v>
      </c>
      <c r="F108" t="s">
        <v>24</v>
      </c>
      <c r="G108">
        <v>1</v>
      </c>
    </row>
    <row r="109" spans="1:7" x14ac:dyDescent="0.15">
      <c r="A109">
        <v>10303001</v>
      </c>
      <c r="B109">
        <v>2</v>
      </c>
      <c r="C109">
        <v>70</v>
      </c>
      <c r="D109">
        <v>90</v>
      </c>
      <c r="E109" t="s">
        <v>501</v>
      </c>
      <c r="F109" t="s">
        <v>25</v>
      </c>
      <c r="G109">
        <v>1</v>
      </c>
    </row>
    <row r="110" spans="1:7" x14ac:dyDescent="0.15">
      <c r="A110">
        <v>10303002</v>
      </c>
      <c r="B110">
        <v>3</v>
      </c>
      <c r="C110">
        <v>110</v>
      </c>
      <c r="D110">
        <v>130</v>
      </c>
      <c r="E110" t="s">
        <v>501</v>
      </c>
      <c r="F110" t="s">
        <v>25</v>
      </c>
      <c r="G110">
        <v>1</v>
      </c>
    </row>
    <row r="111" spans="1:7" x14ac:dyDescent="0.15">
      <c r="A111">
        <v>10303003</v>
      </c>
      <c r="B111">
        <v>4</v>
      </c>
      <c r="C111">
        <v>160</v>
      </c>
      <c r="D111">
        <v>180</v>
      </c>
      <c r="E111" t="s">
        <v>501</v>
      </c>
      <c r="F111" t="s">
        <v>25</v>
      </c>
      <c r="G111">
        <v>1</v>
      </c>
    </row>
    <row r="112" spans="1:7" x14ac:dyDescent="0.15">
      <c r="A112">
        <v>10303103</v>
      </c>
      <c r="B112">
        <v>4</v>
      </c>
      <c r="C112">
        <v>160</v>
      </c>
      <c r="D112">
        <v>180</v>
      </c>
      <c r="E112" t="s">
        <v>502</v>
      </c>
      <c r="F112" t="s">
        <v>25</v>
      </c>
      <c r="G112">
        <v>0</v>
      </c>
    </row>
    <row r="113" spans="1:7" x14ac:dyDescent="0.15">
      <c r="A113">
        <v>10303004</v>
      </c>
      <c r="B113">
        <v>1</v>
      </c>
      <c r="C113">
        <v>30</v>
      </c>
      <c r="D113">
        <v>50</v>
      </c>
      <c r="E113" t="s">
        <v>501</v>
      </c>
      <c r="F113" t="s">
        <v>25</v>
      </c>
      <c r="G113">
        <v>1</v>
      </c>
    </row>
    <row r="114" spans="1:7" x14ac:dyDescent="0.15">
      <c r="A114">
        <v>10304001</v>
      </c>
      <c r="B114">
        <v>1</v>
      </c>
      <c r="C114">
        <v>30</v>
      </c>
      <c r="D114">
        <v>50</v>
      </c>
      <c r="E114" t="s">
        <v>503</v>
      </c>
      <c r="F114" t="s">
        <v>504</v>
      </c>
      <c r="G114">
        <v>0</v>
      </c>
    </row>
    <row r="115" spans="1:7" x14ac:dyDescent="0.15">
      <c r="A115">
        <v>10304002</v>
      </c>
      <c r="B115">
        <v>2</v>
      </c>
      <c r="C115">
        <v>70</v>
      </c>
      <c r="D115">
        <v>90</v>
      </c>
      <c r="E115" t="s">
        <v>503</v>
      </c>
      <c r="F115" t="s">
        <v>504</v>
      </c>
      <c r="G115">
        <v>0</v>
      </c>
    </row>
    <row r="116" spans="1:7" x14ac:dyDescent="0.15">
      <c r="A116">
        <v>10304102</v>
      </c>
      <c r="B116">
        <v>2</v>
      </c>
      <c r="C116">
        <v>70</v>
      </c>
      <c r="D116">
        <v>90</v>
      </c>
      <c r="E116" t="s">
        <v>505</v>
      </c>
      <c r="F116" t="s">
        <v>504</v>
      </c>
      <c r="G116">
        <v>0</v>
      </c>
    </row>
    <row r="117" spans="1:7" x14ac:dyDescent="0.15">
      <c r="A117">
        <v>10304003</v>
      </c>
      <c r="B117">
        <v>3</v>
      </c>
      <c r="C117">
        <v>110</v>
      </c>
      <c r="D117">
        <v>130</v>
      </c>
      <c r="E117" t="s">
        <v>503</v>
      </c>
      <c r="F117" t="s">
        <v>504</v>
      </c>
      <c r="G117">
        <v>0</v>
      </c>
    </row>
    <row r="118" spans="1:7" x14ac:dyDescent="0.15">
      <c r="A118">
        <v>10304004</v>
      </c>
      <c r="B118">
        <v>4</v>
      </c>
      <c r="C118">
        <v>160</v>
      </c>
      <c r="D118">
        <v>180</v>
      </c>
      <c r="E118" t="s">
        <v>503</v>
      </c>
      <c r="F118" t="s">
        <v>504</v>
      </c>
      <c r="G118">
        <v>0</v>
      </c>
    </row>
    <row r="119" spans="1:7" x14ac:dyDescent="0.15">
      <c r="A119">
        <v>10305000</v>
      </c>
      <c r="B119">
        <v>1</v>
      </c>
      <c r="C119">
        <v>30</v>
      </c>
      <c r="D119">
        <v>50</v>
      </c>
      <c r="E119" t="s">
        <v>506</v>
      </c>
      <c r="F119" t="s">
        <v>507</v>
      </c>
      <c r="G119">
        <v>0</v>
      </c>
    </row>
    <row r="120" spans="1:7" x14ac:dyDescent="0.15">
      <c r="A120">
        <v>10305001</v>
      </c>
      <c r="B120">
        <v>1</v>
      </c>
      <c r="C120">
        <v>30</v>
      </c>
      <c r="D120">
        <v>50</v>
      </c>
      <c r="E120" t="s">
        <v>506</v>
      </c>
      <c r="F120" t="s">
        <v>508</v>
      </c>
      <c r="G120">
        <v>0</v>
      </c>
    </row>
    <row r="121" spans="1:7" x14ac:dyDescent="0.15">
      <c r="A121">
        <v>10305002</v>
      </c>
      <c r="B121">
        <v>2</v>
      </c>
      <c r="C121">
        <v>70</v>
      </c>
      <c r="D121">
        <v>90</v>
      </c>
      <c r="E121" t="s">
        <v>506</v>
      </c>
      <c r="F121" t="s">
        <v>508</v>
      </c>
      <c r="G121">
        <v>0</v>
      </c>
    </row>
    <row r="122" spans="1:7" x14ac:dyDescent="0.15">
      <c r="A122">
        <v>10305003</v>
      </c>
      <c r="B122">
        <v>3</v>
      </c>
      <c r="C122">
        <v>110</v>
      </c>
      <c r="D122">
        <v>130</v>
      </c>
      <c r="E122" t="s">
        <v>506</v>
      </c>
      <c r="F122" t="s">
        <v>508</v>
      </c>
      <c r="G122">
        <v>0</v>
      </c>
    </row>
    <row r="123" spans="1:7" x14ac:dyDescent="0.15">
      <c r="A123">
        <v>10305103</v>
      </c>
      <c r="B123">
        <v>3</v>
      </c>
      <c r="C123">
        <v>110</v>
      </c>
      <c r="D123">
        <v>130</v>
      </c>
      <c r="E123" t="s">
        <v>509</v>
      </c>
      <c r="F123" t="s">
        <v>508</v>
      </c>
      <c r="G123">
        <v>0</v>
      </c>
    </row>
    <row r="124" spans="1:7" x14ac:dyDescent="0.15">
      <c r="A124">
        <v>10305004</v>
      </c>
      <c r="B124">
        <v>4</v>
      </c>
      <c r="C124">
        <v>160</v>
      </c>
      <c r="D124">
        <v>180</v>
      </c>
      <c r="E124" t="s">
        <v>506</v>
      </c>
      <c r="F124" t="s">
        <v>508</v>
      </c>
      <c r="G124">
        <v>0</v>
      </c>
    </row>
    <row r="125" spans="1:7" x14ac:dyDescent="0.15">
      <c r="A125">
        <v>10306001</v>
      </c>
      <c r="B125">
        <v>1</v>
      </c>
      <c r="C125">
        <v>30</v>
      </c>
      <c r="D125">
        <v>50</v>
      </c>
      <c r="E125" t="s">
        <v>510</v>
      </c>
      <c r="F125" t="s">
        <v>511</v>
      </c>
      <c r="G125">
        <v>0</v>
      </c>
    </row>
    <row r="126" spans="1:7" x14ac:dyDescent="0.15">
      <c r="A126">
        <v>10306002</v>
      </c>
      <c r="B126">
        <v>2</v>
      </c>
      <c r="C126">
        <v>70</v>
      </c>
      <c r="D126">
        <v>90</v>
      </c>
      <c r="E126" t="s">
        <v>510</v>
      </c>
      <c r="F126" t="s">
        <v>511</v>
      </c>
      <c r="G126">
        <v>0</v>
      </c>
    </row>
    <row r="127" spans="1:7" x14ac:dyDescent="0.15">
      <c r="A127">
        <v>10306003</v>
      </c>
      <c r="B127">
        <v>3</v>
      </c>
      <c r="C127">
        <v>110</v>
      </c>
      <c r="D127">
        <v>130</v>
      </c>
      <c r="E127" t="s">
        <v>510</v>
      </c>
      <c r="F127" t="s">
        <v>511</v>
      </c>
      <c r="G127">
        <v>0</v>
      </c>
    </row>
    <row r="128" spans="1:7" x14ac:dyDescent="0.15">
      <c r="A128">
        <v>10306004</v>
      </c>
      <c r="B128">
        <v>4</v>
      </c>
      <c r="C128">
        <v>160</v>
      </c>
      <c r="D128">
        <v>180</v>
      </c>
      <c r="E128" t="s">
        <v>510</v>
      </c>
      <c r="F128" t="s">
        <v>511</v>
      </c>
      <c r="G128">
        <v>0</v>
      </c>
    </row>
    <row r="129" spans="1:7" x14ac:dyDescent="0.15">
      <c r="A129">
        <v>10306103</v>
      </c>
      <c r="B129">
        <v>3</v>
      </c>
      <c r="C129">
        <v>160</v>
      </c>
      <c r="D129">
        <v>180</v>
      </c>
      <c r="E129" t="s">
        <v>512</v>
      </c>
      <c r="F129" t="s">
        <v>511</v>
      </c>
      <c r="G129">
        <v>0</v>
      </c>
    </row>
    <row r="130" spans="1:7" x14ac:dyDescent="0.15">
      <c r="A130">
        <v>10401001</v>
      </c>
      <c r="B130">
        <v>2</v>
      </c>
      <c r="C130">
        <v>70</v>
      </c>
      <c r="D130">
        <v>90</v>
      </c>
      <c r="E130" t="s">
        <v>26</v>
      </c>
      <c r="F130" t="s">
        <v>27</v>
      </c>
      <c r="G130">
        <v>1</v>
      </c>
    </row>
    <row r="131" spans="1:7" x14ac:dyDescent="0.15">
      <c r="A131">
        <v>10401002</v>
      </c>
      <c r="B131">
        <v>3</v>
      </c>
      <c r="C131">
        <v>110</v>
      </c>
      <c r="D131">
        <v>130</v>
      </c>
      <c r="E131" t="s">
        <v>26</v>
      </c>
      <c r="F131" t="s">
        <v>27</v>
      </c>
      <c r="G131">
        <v>1</v>
      </c>
    </row>
    <row r="132" spans="1:7" x14ac:dyDescent="0.15">
      <c r="A132">
        <v>10401003</v>
      </c>
      <c r="B132">
        <v>4</v>
      </c>
      <c r="C132">
        <v>160</v>
      </c>
      <c r="D132">
        <v>180</v>
      </c>
      <c r="E132" t="s">
        <v>26</v>
      </c>
      <c r="F132" t="s">
        <v>27</v>
      </c>
      <c r="G132">
        <v>1</v>
      </c>
    </row>
    <row r="133" spans="1:7" x14ac:dyDescent="0.15">
      <c r="A133">
        <v>10401004</v>
      </c>
      <c r="B133">
        <v>1</v>
      </c>
      <c r="C133">
        <v>30</v>
      </c>
      <c r="D133">
        <v>50</v>
      </c>
      <c r="E133" t="s">
        <v>26</v>
      </c>
      <c r="F133" t="s">
        <v>27</v>
      </c>
      <c r="G133">
        <v>1</v>
      </c>
    </row>
    <row r="134" spans="1:7" x14ac:dyDescent="0.15">
      <c r="A134">
        <v>10402001</v>
      </c>
      <c r="B134">
        <v>2</v>
      </c>
      <c r="C134">
        <v>70</v>
      </c>
      <c r="D134">
        <v>90</v>
      </c>
      <c r="E134" t="s">
        <v>513</v>
      </c>
      <c r="F134" t="s">
        <v>28</v>
      </c>
      <c r="G134">
        <v>1</v>
      </c>
    </row>
    <row r="135" spans="1:7" x14ac:dyDescent="0.15">
      <c r="A135">
        <v>10402002</v>
      </c>
      <c r="B135">
        <v>3</v>
      </c>
      <c r="C135">
        <v>110</v>
      </c>
      <c r="D135">
        <v>130</v>
      </c>
      <c r="E135" t="s">
        <v>513</v>
      </c>
      <c r="F135" t="s">
        <v>28</v>
      </c>
      <c r="G135">
        <v>1</v>
      </c>
    </row>
    <row r="136" spans="1:7" x14ac:dyDescent="0.15">
      <c r="A136">
        <v>10402003</v>
      </c>
      <c r="B136">
        <v>4</v>
      </c>
      <c r="C136">
        <v>160</v>
      </c>
      <c r="D136">
        <v>180</v>
      </c>
      <c r="E136" t="s">
        <v>513</v>
      </c>
      <c r="F136" t="s">
        <v>28</v>
      </c>
      <c r="G136">
        <v>1</v>
      </c>
    </row>
    <row r="137" spans="1:7" x14ac:dyDescent="0.15">
      <c r="A137">
        <v>10402004</v>
      </c>
      <c r="B137">
        <v>5</v>
      </c>
      <c r="C137">
        <v>230</v>
      </c>
      <c r="D137">
        <v>230</v>
      </c>
      <c r="E137" t="s">
        <v>513</v>
      </c>
      <c r="F137" t="s">
        <v>28</v>
      </c>
      <c r="G137">
        <v>1</v>
      </c>
    </row>
    <row r="138" spans="1:7" x14ac:dyDescent="0.15">
      <c r="A138">
        <v>10402005</v>
      </c>
      <c r="B138">
        <v>1</v>
      </c>
      <c r="C138">
        <v>30</v>
      </c>
      <c r="D138">
        <v>50</v>
      </c>
      <c r="E138" t="s">
        <v>513</v>
      </c>
      <c r="F138" t="s">
        <v>28</v>
      </c>
      <c r="G138">
        <v>1</v>
      </c>
    </row>
    <row r="139" spans="1:7" x14ac:dyDescent="0.15">
      <c r="A139">
        <v>10403000</v>
      </c>
      <c r="B139">
        <v>1</v>
      </c>
      <c r="C139">
        <v>30</v>
      </c>
      <c r="D139">
        <v>30</v>
      </c>
      <c r="E139" t="s">
        <v>514</v>
      </c>
      <c r="F139" t="s">
        <v>515</v>
      </c>
      <c r="G139">
        <v>0</v>
      </c>
    </row>
    <row r="140" spans="1:7" x14ac:dyDescent="0.15">
      <c r="A140">
        <v>10403001</v>
      </c>
      <c r="B140">
        <v>1</v>
      </c>
      <c r="C140">
        <v>30</v>
      </c>
      <c r="D140">
        <v>50</v>
      </c>
      <c r="E140" t="s">
        <v>514</v>
      </c>
      <c r="F140" t="s">
        <v>516</v>
      </c>
      <c r="G140">
        <v>1</v>
      </c>
    </row>
    <row r="141" spans="1:7" x14ac:dyDescent="0.15">
      <c r="A141">
        <v>10403002</v>
      </c>
      <c r="B141">
        <v>2</v>
      </c>
      <c r="C141">
        <v>70</v>
      </c>
      <c r="D141">
        <v>90</v>
      </c>
      <c r="E141" t="s">
        <v>514</v>
      </c>
      <c r="F141" t="s">
        <v>517</v>
      </c>
      <c r="G141">
        <v>1</v>
      </c>
    </row>
    <row r="142" spans="1:7" x14ac:dyDescent="0.15">
      <c r="A142">
        <v>10403003</v>
      </c>
      <c r="B142">
        <v>3</v>
      </c>
      <c r="C142">
        <v>110</v>
      </c>
      <c r="D142">
        <v>130</v>
      </c>
      <c r="E142" t="s">
        <v>514</v>
      </c>
      <c r="F142" t="s">
        <v>518</v>
      </c>
      <c r="G142">
        <v>1</v>
      </c>
    </row>
    <row r="143" spans="1:7" x14ac:dyDescent="0.15">
      <c r="A143">
        <v>10403004</v>
      </c>
      <c r="B143">
        <v>4</v>
      </c>
      <c r="C143">
        <v>160</v>
      </c>
      <c r="D143">
        <v>180</v>
      </c>
      <c r="E143" t="s">
        <v>514</v>
      </c>
      <c r="F143" t="s">
        <v>519</v>
      </c>
      <c r="G143">
        <v>1</v>
      </c>
    </row>
    <row r="144" spans="1:7" x14ac:dyDescent="0.15">
      <c r="A144">
        <v>10404001</v>
      </c>
      <c r="B144">
        <v>1</v>
      </c>
      <c r="C144">
        <v>30</v>
      </c>
      <c r="D144">
        <v>50</v>
      </c>
      <c r="E144" t="s">
        <v>520</v>
      </c>
      <c r="F144" t="s">
        <v>521</v>
      </c>
      <c r="G144">
        <v>0</v>
      </c>
    </row>
    <row r="145" spans="1:7" x14ac:dyDescent="0.15">
      <c r="A145">
        <v>10404002</v>
      </c>
      <c r="B145">
        <v>2</v>
      </c>
      <c r="C145">
        <v>70</v>
      </c>
      <c r="D145">
        <v>90</v>
      </c>
      <c r="E145" t="s">
        <v>520</v>
      </c>
      <c r="F145" t="s">
        <v>521</v>
      </c>
      <c r="G145">
        <v>0</v>
      </c>
    </row>
    <row r="146" spans="1:7" x14ac:dyDescent="0.15">
      <c r="A146">
        <v>10404003</v>
      </c>
      <c r="B146">
        <v>3</v>
      </c>
      <c r="C146">
        <v>110</v>
      </c>
      <c r="D146">
        <v>130</v>
      </c>
      <c r="E146" t="s">
        <v>520</v>
      </c>
      <c r="F146" t="s">
        <v>521</v>
      </c>
      <c r="G146">
        <v>0</v>
      </c>
    </row>
    <row r="147" spans="1:7" x14ac:dyDescent="0.15">
      <c r="A147">
        <v>10404004</v>
      </c>
      <c r="B147">
        <v>4</v>
      </c>
      <c r="C147">
        <v>160</v>
      </c>
      <c r="D147">
        <v>180</v>
      </c>
      <c r="E147" t="s">
        <v>520</v>
      </c>
      <c r="F147" t="s">
        <v>521</v>
      </c>
      <c r="G147">
        <v>0</v>
      </c>
    </row>
    <row r="148" spans="1:7" x14ac:dyDescent="0.15">
      <c r="A148">
        <v>10405001</v>
      </c>
      <c r="B148">
        <v>1</v>
      </c>
      <c r="C148">
        <v>30</v>
      </c>
      <c r="D148">
        <v>50</v>
      </c>
      <c r="E148" t="s">
        <v>522</v>
      </c>
      <c r="F148" t="s">
        <v>523</v>
      </c>
      <c r="G148">
        <v>0</v>
      </c>
    </row>
    <row r="149" spans="1:7" x14ac:dyDescent="0.15">
      <c r="A149">
        <v>10405002</v>
      </c>
      <c r="B149">
        <v>2</v>
      </c>
      <c r="C149">
        <v>70</v>
      </c>
      <c r="D149">
        <v>90</v>
      </c>
      <c r="E149" t="s">
        <v>522</v>
      </c>
      <c r="F149" t="s">
        <v>523</v>
      </c>
      <c r="G149">
        <v>0</v>
      </c>
    </row>
    <row r="150" spans="1:7" x14ac:dyDescent="0.15">
      <c r="A150">
        <v>10405003</v>
      </c>
      <c r="B150">
        <v>3</v>
      </c>
      <c r="C150">
        <v>110</v>
      </c>
      <c r="D150">
        <v>130</v>
      </c>
      <c r="E150" t="s">
        <v>522</v>
      </c>
      <c r="F150" t="s">
        <v>523</v>
      </c>
      <c r="G150">
        <v>0</v>
      </c>
    </row>
    <row r="151" spans="1:7" x14ac:dyDescent="0.15">
      <c r="A151">
        <v>10405004</v>
      </c>
      <c r="B151">
        <v>4</v>
      </c>
      <c r="C151">
        <v>160</v>
      </c>
      <c r="D151">
        <v>180</v>
      </c>
      <c r="E151" t="s">
        <v>522</v>
      </c>
      <c r="F151" t="s">
        <v>523</v>
      </c>
      <c r="G151">
        <v>0</v>
      </c>
    </row>
    <row r="152" spans="1:7" x14ac:dyDescent="0.15">
      <c r="A152">
        <v>10406001</v>
      </c>
      <c r="B152">
        <v>1</v>
      </c>
      <c r="C152">
        <v>30</v>
      </c>
      <c r="D152">
        <v>50</v>
      </c>
      <c r="E152" t="s">
        <v>524</v>
      </c>
      <c r="F152" t="s">
        <v>525</v>
      </c>
      <c r="G152">
        <v>0</v>
      </c>
    </row>
    <row r="153" spans="1:7" x14ac:dyDescent="0.15">
      <c r="A153">
        <v>10406002</v>
      </c>
      <c r="B153">
        <v>2</v>
      </c>
      <c r="C153">
        <v>70</v>
      </c>
      <c r="D153">
        <v>90</v>
      </c>
      <c r="E153" t="s">
        <v>524</v>
      </c>
      <c r="F153" t="s">
        <v>525</v>
      </c>
      <c r="G153">
        <v>0</v>
      </c>
    </row>
    <row r="154" spans="1:7" x14ac:dyDescent="0.15">
      <c r="A154">
        <v>10406003</v>
      </c>
      <c r="B154">
        <v>3</v>
      </c>
      <c r="C154">
        <v>110</v>
      </c>
      <c r="D154">
        <v>130</v>
      </c>
      <c r="E154" t="s">
        <v>524</v>
      </c>
      <c r="F154" t="s">
        <v>525</v>
      </c>
      <c r="G154">
        <v>0</v>
      </c>
    </row>
    <row r="155" spans="1:7" x14ac:dyDescent="0.15">
      <c r="A155">
        <v>10406004</v>
      </c>
      <c r="B155">
        <v>4</v>
      </c>
      <c r="C155">
        <v>160</v>
      </c>
      <c r="D155">
        <v>180</v>
      </c>
      <c r="E155" t="s">
        <v>524</v>
      </c>
      <c r="F155" t="s">
        <v>525</v>
      </c>
      <c r="G155">
        <v>0</v>
      </c>
    </row>
    <row r="156" spans="1:7" x14ac:dyDescent="0.15">
      <c r="A156">
        <v>10407001</v>
      </c>
      <c r="B156">
        <v>1</v>
      </c>
      <c r="C156">
        <v>30</v>
      </c>
      <c r="D156">
        <v>50</v>
      </c>
      <c r="E156" t="s">
        <v>526</v>
      </c>
      <c r="F156" t="s">
        <v>527</v>
      </c>
      <c r="G156">
        <v>0</v>
      </c>
    </row>
    <row r="157" spans="1:7" x14ac:dyDescent="0.15">
      <c r="A157">
        <v>10407002</v>
      </c>
      <c r="B157">
        <v>2</v>
      </c>
      <c r="C157">
        <v>70</v>
      </c>
      <c r="D157">
        <v>90</v>
      </c>
      <c r="E157" t="s">
        <v>526</v>
      </c>
      <c r="F157" t="s">
        <v>527</v>
      </c>
      <c r="G157">
        <v>0</v>
      </c>
    </row>
    <row r="158" spans="1:7" x14ac:dyDescent="0.15">
      <c r="A158">
        <v>10407003</v>
      </c>
      <c r="B158">
        <v>3</v>
      </c>
      <c r="C158">
        <v>110</v>
      </c>
      <c r="D158">
        <v>130</v>
      </c>
      <c r="E158" t="s">
        <v>526</v>
      </c>
      <c r="F158" t="s">
        <v>527</v>
      </c>
      <c r="G158">
        <v>0</v>
      </c>
    </row>
    <row r="159" spans="1:7" x14ac:dyDescent="0.15">
      <c r="A159">
        <v>10407004</v>
      </c>
      <c r="B159">
        <v>4</v>
      </c>
      <c r="C159">
        <v>160</v>
      </c>
      <c r="D159">
        <v>180</v>
      </c>
      <c r="E159" t="s">
        <v>526</v>
      </c>
      <c r="F159" t="s">
        <v>527</v>
      </c>
      <c r="G159">
        <v>0</v>
      </c>
    </row>
    <row r="160" spans="1:7" x14ac:dyDescent="0.15">
      <c r="A160">
        <v>10408001</v>
      </c>
      <c r="B160">
        <v>1</v>
      </c>
      <c r="C160">
        <v>30</v>
      </c>
      <c r="D160">
        <v>50</v>
      </c>
      <c r="E160" t="s">
        <v>528</v>
      </c>
      <c r="F160" t="s">
        <v>529</v>
      </c>
      <c r="G160">
        <v>0</v>
      </c>
    </row>
    <row r="161" spans="1:7" x14ac:dyDescent="0.15">
      <c r="A161">
        <v>10408002</v>
      </c>
      <c r="B161">
        <v>2</v>
      </c>
      <c r="C161">
        <v>70</v>
      </c>
      <c r="D161">
        <v>90</v>
      </c>
      <c r="E161" t="s">
        <v>528</v>
      </c>
      <c r="F161" t="s">
        <v>529</v>
      </c>
      <c r="G161">
        <v>0</v>
      </c>
    </row>
    <row r="162" spans="1:7" x14ac:dyDescent="0.15">
      <c r="A162">
        <v>10408003</v>
      </c>
      <c r="B162">
        <v>3</v>
      </c>
      <c r="C162">
        <v>110</v>
      </c>
      <c r="D162">
        <v>130</v>
      </c>
      <c r="E162" t="s">
        <v>528</v>
      </c>
      <c r="F162" t="s">
        <v>529</v>
      </c>
      <c r="G162">
        <v>0</v>
      </c>
    </row>
    <row r="163" spans="1:7" x14ac:dyDescent="0.15">
      <c r="A163">
        <v>10408004</v>
      </c>
      <c r="B163">
        <v>4</v>
      </c>
      <c r="C163">
        <v>160</v>
      </c>
      <c r="D163">
        <v>180</v>
      </c>
      <c r="E163" t="s">
        <v>528</v>
      </c>
      <c r="F163" t="s">
        <v>529</v>
      </c>
      <c r="G163">
        <v>0</v>
      </c>
    </row>
    <row r="164" spans="1:7" x14ac:dyDescent="0.15">
      <c r="A164">
        <v>10409001</v>
      </c>
      <c r="B164">
        <v>1</v>
      </c>
      <c r="C164">
        <v>30</v>
      </c>
      <c r="D164">
        <v>50</v>
      </c>
      <c r="E164" t="s">
        <v>530</v>
      </c>
      <c r="F164" t="s">
        <v>531</v>
      </c>
      <c r="G164">
        <v>0</v>
      </c>
    </row>
    <row r="165" spans="1:7" x14ac:dyDescent="0.15">
      <c r="A165">
        <v>10409002</v>
      </c>
      <c r="B165">
        <v>2</v>
      </c>
      <c r="C165">
        <v>70</v>
      </c>
      <c r="D165">
        <v>90</v>
      </c>
      <c r="E165" t="s">
        <v>530</v>
      </c>
      <c r="F165" t="s">
        <v>531</v>
      </c>
      <c r="G165">
        <v>0</v>
      </c>
    </row>
    <row r="166" spans="1:7" x14ac:dyDescent="0.15">
      <c r="A166">
        <v>10409003</v>
      </c>
      <c r="B166">
        <v>3</v>
      </c>
      <c r="C166">
        <v>110</v>
      </c>
      <c r="D166">
        <v>130</v>
      </c>
      <c r="E166" t="s">
        <v>530</v>
      </c>
      <c r="F166" t="s">
        <v>531</v>
      </c>
      <c r="G166">
        <v>0</v>
      </c>
    </row>
    <row r="167" spans="1:7" x14ac:dyDescent="0.15">
      <c r="A167">
        <v>10409004</v>
      </c>
      <c r="B167">
        <v>4</v>
      </c>
      <c r="C167">
        <v>160</v>
      </c>
      <c r="D167">
        <v>180</v>
      </c>
      <c r="E167" t="s">
        <v>530</v>
      </c>
      <c r="F167" t="s">
        <v>531</v>
      </c>
      <c r="G167">
        <v>0</v>
      </c>
    </row>
    <row r="168" spans="1:7" x14ac:dyDescent="0.15">
      <c r="A168">
        <v>10501001</v>
      </c>
      <c r="B168">
        <v>2</v>
      </c>
      <c r="C168">
        <v>70</v>
      </c>
      <c r="D168">
        <v>90</v>
      </c>
      <c r="E168" t="s">
        <v>532</v>
      </c>
      <c r="F168" t="s">
        <v>29</v>
      </c>
      <c r="G168">
        <v>1</v>
      </c>
    </row>
    <row r="169" spans="1:7" x14ac:dyDescent="0.15">
      <c r="A169">
        <v>10501002</v>
      </c>
      <c r="B169">
        <v>3</v>
      </c>
      <c r="C169">
        <v>110</v>
      </c>
      <c r="D169">
        <v>130</v>
      </c>
      <c r="E169" t="s">
        <v>532</v>
      </c>
      <c r="F169" t="s">
        <v>29</v>
      </c>
      <c r="G169">
        <v>1</v>
      </c>
    </row>
    <row r="170" spans="1:7" x14ac:dyDescent="0.15">
      <c r="A170">
        <v>10501003</v>
      </c>
      <c r="B170">
        <v>4</v>
      </c>
      <c r="C170">
        <v>160</v>
      </c>
      <c r="D170">
        <v>180</v>
      </c>
      <c r="E170" t="s">
        <v>532</v>
      </c>
      <c r="F170" t="s">
        <v>29</v>
      </c>
      <c r="G170">
        <v>1</v>
      </c>
    </row>
    <row r="171" spans="1:7" x14ac:dyDescent="0.15">
      <c r="A171">
        <v>10501004</v>
      </c>
      <c r="B171">
        <v>1</v>
      </c>
      <c r="C171">
        <v>30</v>
      </c>
      <c r="D171">
        <v>50</v>
      </c>
      <c r="E171" t="s">
        <v>532</v>
      </c>
      <c r="F171" t="s">
        <v>29</v>
      </c>
      <c r="G171">
        <v>1</v>
      </c>
    </row>
    <row r="172" spans="1:7" x14ac:dyDescent="0.15">
      <c r="A172">
        <v>10502001</v>
      </c>
      <c r="B172">
        <v>2</v>
      </c>
      <c r="C172">
        <v>70</v>
      </c>
      <c r="D172">
        <v>90</v>
      </c>
      <c r="E172" t="s">
        <v>533</v>
      </c>
      <c r="F172" t="s">
        <v>30</v>
      </c>
      <c r="G172">
        <v>1</v>
      </c>
    </row>
    <row r="173" spans="1:7" x14ac:dyDescent="0.15">
      <c r="A173">
        <v>10502002</v>
      </c>
      <c r="B173">
        <v>3</v>
      </c>
      <c r="C173">
        <v>110</v>
      </c>
      <c r="D173">
        <v>130</v>
      </c>
      <c r="E173" t="s">
        <v>533</v>
      </c>
      <c r="F173" t="s">
        <v>30</v>
      </c>
      <c r="G173">
        <v>1</v>
      </c>
    </row>
    <row r="174" spans="1:7" x14ac:dyDescent="0.15">
      <c r="A174">
        <v>10502003</v>
      </c>
      <c r="B174">
        <v>4</v>
      </c>
      <c r="C174">
        <v>160</v>
      </c>
      <c r="D174">
        <v>180</v>
      </c>
      <c r="E174" t="s">
        <v>533</v>
      </c>
      <c r="F174" t="s">
        <v>30</v>
      </c>
      <c r="G174">
        <v>1</v>
      </c>
    </row>
    <row r="175" spans="1:7" x14ac:dyDescent="0.15">
      <c r="A175">
        <v>10502004</v>
      </c>
      <c r="B175">
        <v>5</v>
      </c>
      <c r="C175">
        <v>230</v>
      </c>
      <c r="D175">
        <v>230</v>
      </c>
      <c r="E175" t="s">
        <v>533</v>
      </c>
      <c r="F175" t="s">
        <v>30</v>
      </c>
      <c r="G175">
        <v>1</v>
      </c>
    </row>
    <row r="176" spans="1:7" x14ac:dyDescent="0.15">
      <c r="A176">
        <v>10502005</v>
      </c>
      <c r="B176">
        <v>1</v>
      </c>
      <c r="C176">
        <v>30</v>
      </c>
      <c r="D176">
        <v>50</v>
      </c>
      <c r="E176" t="s">
        <v>533</v>
      </c>
      <c r="F176" t="s">
        <v>30</v>
      </c>
      <c r="G176">
        <v>1</v>
      </c>
    </row>
    <row r="177" spans="1:7" x14ac:dyDescent="0.15">
      <c r="A177">
        <v>10502102</v>
      </c>
      <c r="B177">
        <v>3</v>
      </c>
      <c r="C177">
        <v>110</v>
      </c>
      <c r="D177">
        <v>130</v>
      </c>
      <c r="E177" t="s">
        <v>533</v>
      </c>
      <c r="F177" t="s">
        <v>30</v>
      </c>
      <c r="G177">
        <v>0</v>
      </c>
    </row>
    <row r="178" spans="1:7" x14ac:dyDescent="0.15">
      <c r="A178">
        <v>10503000</v>
      </c>
      <c r="B178">
        <v>1</v>
      </c>
      <c r="C178">
        <v>30</v>
      </c>
      <c r="D178">
        <v>50</v>
      </c>
      <c r="E178" t="s">
        <v>534</v>
      </c>
      <c r="F178" t="s">
        <v>535</v>
      </c>
      <c r="G178">
        <v>0</v>
      </c>
    </row>
    <row r="179" spans="1:7" x14ac:dyDescent="0.15">
      <c r="A179">
        <v>10503001</v>
      </c>
      <c r="B179">
        <v>2</v>
      </c>
      <c r="C179">
        <v>70</v>
      </c>
      <c r="D179">
        <v>90</v>
      </c>
      <c r="E179" t="s">
        <v>534</v>
      </c>
      <c r="F179" t="s">
        <v>31</v>
      </c>
      <c r="G179">
        <v>1</v>
      </c>
    </row>
    <row r="180" spans="1:7" x14ac:dyDescent="0.15">
      <c r="A180">
        <v>10503002</v>
      </c>
      <c r="B180">
        <v>3</v>
      </c>
      <c r="C180">
        <v>110</v>
      </c>
      <c r="D180">
        <v>130</v>
      </c>
      <c r="E180" t="s">
        <v>534</v>
      </c>
      <c r="F180" t="s">
        <v>31</v>
      </c>
      <c r="G180">
        <v>1</v>
      </c>
    </row>
    <row r="181" spans="1:7" x14ac:dyDescent="0.15">
      <c r="A181">
        <v>10503003</v>
      </c>
      <c r="B181">
        <v>4</v>
      </c>
      <c r="C181">
        <v>160</v>
      </c>
      <c r="D181">
        <v>180</v>
      </c>
      <c r="E181" t="s">
        <v>534</v>
      </c>
      <c r="F181" t="s">
        <v>31</v>
      </c>
      <c r="G181">
        <v>1</v>
      </c>
    </row>
    <row r="182" spans="1:7" x14ac:dyDescent="0.15">
      <c r="A182">
        <v>10503004</v>
      </c>
      <c r="B182">
        <v>1</v>
      </c>
      <c r="C182">
        <v>30</v>
      </c>
      <c r="D182">
        <v>50</v>
      </c>
      <c r="E182" t="s">
        <v>534</v>
      </c>
      <c r="F182" t="s">
        <v>31</v>
      </c>
      <c r="G182">
        <v>1</v>
      </c>
    </row>
    <row r="183" spans="1:7" x14ac:dyDescent="0.15">
      <c r="A183">
        <v>10503102</v>
      </c>
      <c r="B183">
        <v>3</v>
      </c>
      <c r="C183">
        <v>110</v>
      </c>
      <c r="D183">
        <v>130</v>
      </c>
      <c r="E183" t="s">
        <v>534</v>
      </c>
      <c r="F183" t="s">
        <v>31</v>
      </c>
      <c r="G183">
        <v>0</v>
      </c>
    </row>
    <row r="184" spans="1:7" x14ac:dyDescent="0.15">
      <c r="A184">
        <v>10504001</v>
      </c>
      <c r="B184">
        <v>1</v>
      </c>
      <c r="C184">
        <v>30</v>
      </c>
      <c r="D184">
        <v>50</v>
      </c>
      <c r="E184" t="s">
        <v>536</v>
      </c>
      <c r="F184" t="s">
        <v>537</v>
      </c>
      <c r="G184">
        <v>1</v>
      </c>
    </row>
    <row r="185" spans="1:7" x14ac:dyDescent="0.15">
      <c r="A185">
        <v>10504002</v>
      </c>
      <c r="B185">
        <v>2</v>
      </c>
      <c r="C185">
        <v>70</v>
      </c>
      <c r="D185">
        <v>90</v>
      </c>
      <c r="E185" t="s">
        <v>536</v>
      </c>
      <c r="F185" t="s">
        <v>537</v>
      </c>
      <c r="G185">
        <v>1</v>
      </c>
    </row>
    <row r="186" spans="1:7" x14ac:dyDescent="0.15">
      <c r="A186">
        <v>10504003</v>
      </c>
      <c r="B186">
        <v>3</v>
      </c>
      <c r="C186">
        <v>110</v>
      </c>
      <c r="D186">
        <v>130</v>
      </c>
      <c r="E186" t="s">
        <v>536</v>
      </c>
      <c r="F186" t="s">
        <v>537</v>
      </c>
      <c r="G186">
        <v>1</v>
      </c>
    </row>
    <row r="187" spans="1:7" x14ac:dyDescent="0.15">
      <c r="A187">
        <v>10504004</v>
      </c>
      <c r="B187">
        <v>4</v>
      </c>
      <c r="C187">
        <v>160</v>
      </c>
      <c r="D187">
        <v>180</v>
      </c>
      <c r="E187" t="s">
        <v>536</v>
      </c>
      <c r="F187" t="s">
        <v>537</v>
      </c>
      <c r="G187">
        <v>1</v>
      </c>
    </row>
    <row r="188" spans="1:7" x14ac:dyDescent="0.15">
      <c r="A188">
        <v>10505001</v>
      </c>
      <c r="B188">
        <v>1</v>
      </c>
      <c r="C188">
        <v>30</v>
      </c>
      <c r="D188">
        <v>50</v>
      </c>
      <c r="E188" t="s">
        <v>538</v>
      </c>
      <c r="F188" t="s">
        <v>539</v>
      </c>
      <c r="G188">
        <v>0</v>
      </c>
    </row>
    <row r="189" spans="1:7" x14ac:dyDescent="0.15">
      <c r="A189">
        <v>10505002</v>
      </c>
      <c r="B189">
        <v>2</v>
      </c>
      <c r="C189">
        <v>70</v>
      </c>
      <c r="D189">
        <v>90</v>
      </c>
      <c r="E189" t="s">
        <v>538</v>
      </c>
      <c r="F189" t="s">
        <v>539</v>
      </c>
      <c r="G189">
        <v>0</v>
      </c>
    </row>
    <row r="190" spans="1:7" x14ac:dyDescent="0.15">
      <c r="A190">
        <v>10505003</v>
      </c>
      <c r="B190">
        <v>3</v>
      </c>
      <c r="C190">
        <v>110</v>
      </c>
      <c r="D190">
        <v>130</v>
      </c>
      <c r="E190" t="s">
        <v>538</v>
      </c>
      <c r="F190" t="s">
        <v>539</v>
      </c>
      <c r="G190">
        <v>0</v>
      </c>
    </row>
    <row r="191" spans="1:7" x14ac:dyDescent="0.15">
      <c r="A191">
        <v>10505004</v>
      </c>
      <c r="B191">
        <v>4</v>
      </c>
      <c r="C191">
        <v>160</v>
      </c>
      <c r="D191">
        <v>180</v>
      </c>
      <c r="E191" t="s">
        <v>538</v>
      </c>
      <c r="F191" t="s">
        <v>539</v>
      </c>
      <c r="G191">
        <v>0</v>
      </c>
    </row>
    <row r="192" spans="1:7" x14ac:dyDescent="0.15">
      <c r="A192">
        <v>10506001</v>
      </c>
      <c r="B192">
        <v>1</v>
      </c>
      <c r="C192">
        <v>30</v>
      </c>
      <c r="D192">
        <v>50</v>
      </c>
      <c r="E192" t="s">
        <v>540</v>
      </c>
      <c r="F192" t="s">
        <v>541</v>
      </c>
      <c r="G192">
        <v>0</v>
      </c>
    </row>
    <row r="193" spans="1:7" x14ac:dyDescent="0.15">
      <c r="A193">
        <v>10506002</v>
      </c>
      <c r="B193">
        <v>2</v>
      </c>
      <c r="C193">
        <v>70</v>
      </c>
      <c r="D193">
        <v>90</v>
      </c>
      <c r="E193" t="s">
        <v>540</v>
      </c>
      <c r="F193" t="s">
        <v>541</v>
      </c>
      <c r="G193">
        <v>0</v>
      </c>
    </row>
    <row r="194" spans="1:7" x14ac:dyDescent="0.15">
      <c r="A194">
        <v>10506003</v>
      </c>
      <c r="B194">
        <v>3</v>
      </c>
      <c r="C194">
        <v>110</v>
      </c>
      <c r="D194">
        <v>130</v>
      </c>
      <c r="E194" t="s">
        <v>540</v>
      </c>
      <c r="F194" t="s">
        <v>541</v>
      </c>
      <c r="G194">
        <v>0</v>
      </c>
    </row>
    <row r="195" spans="1:7" x14ac:dyDescent="0.15">
      <c r="A195">
        <v>10506004</v>
      </c>
      <c r="B195">
        <v>4</v>
      </c>
      <c r="C195">
        <v>160</v>
      </c>
      <c r="D195">
        <v>180</v>
      </c>
      <c r="E195" t="s">
        <v>540</v>
      </c>
      <c r="F195" t="s">
        <v>541</v>
      </c>
      <c r="G195">
        <v>0</v>
      </c>
    </row>
    <row r="196" spans="1:7" x14ac:dyDescent="0.15">
      <c r="A196">
        <v>10507001</v>
      </c>
      <c r="B196">
        <v>1</v>
      </c>
      <c r="C196">
        <v>30</v>
      </c>
      <c r="D196">
        <v>50</v>
      </c>
      <c r="E196" t="s">
        <v>542</v>
      </c>
      <c r="F196" t="s">
        <v>543</v>
      </c>
      <c r="G196">
        <v>0</v>
      </c>
    </row>
    <row r="197" spans="1:7" x14ac:dyDescent="0.15">
      <c r="A197">
        <v>10507002</v>
      </c>
      <c r="B197">
        <v>2</v>
      </c>
      <c r="C197">
        <v>70</v>
      </c>
      <c r="D197">
        <v>90</v>
      </c>
      <c r="E197" t="s">
        <v>542</v>
      </c>
      <c r="F197" t="s">
        <v>543</v>
      </c>
      <c r="G197">
        <v>0</v>
      </c>
    </row>
    <row r="198" spans="1:7" x14ac:dyDescent="0.15">
      <c r="A198">
        <v>10507003</v>
      </c>
      <c r="B198">
        <v>3</v>
      </c>
      <c r="C198">
        <v>110</v>
      </c>
      <c r="D198">
        <v>130</v>
      </c>
      <c r="E198" t="s">
        <v>542</v>
      </c>
      <c r="F198" t="s">
        <v>543</v>
      </c>
      <c r="G198">
        <v>0</v>
      </c>
    </row>
    <row r="199" spans="1:7" x14ac:dyDescent="0.15">
      <c r="A199">
        <v>10507004</v>
      </c>
      <c r="B199">
        <v>4</v>
      </c>
      <c r="C199">
        <v>160</v>
      </c>
      <c r="D199">
        <v>180</v>
      </c>
      <c r="E199" t="s">
        <v>542</v>
      </c>
      <c r="F199" t="s">
        <v>543</v>
      </c>
      <c r="G199">
        <v>0</v>
      </c>
    </row>
    <row r="200" spans="1:7" x14ac:dyDescent="0.15">
      <c r="A200">
        <v>10601001</v>
      </c>
      <c r="B200">
        <v>2</v>
      </c>
      <c r="C200">
        <v>70</v>
      </c>
      <c r="D200">
        <v>90</v>
      </c>
      <c r="E200" t="s">
        <v>544</v>
      </c>
      <c r="F200" t="s">
        <v>32</v>
      </c>
      <c r="G200">
        <v>1</v>
      </c>
    </row>
    <row r="201" spans="1:7" x14ac:dyDescent="0.15">
      <c r="A201">
        <v>10601002</v>
      </c>
      <c r="B201">
        <v>3</v>
      </c>
      <c r="C201">
        <v>110</v>
      </c>
      <c r="D201">
        <v>130</v>
      </c>
      <c r="E201" t="s">
        <v>544</v>
      </c>
      <c r="F201" t="s">
        <v>32</v>
      </c>
      <c r="G201">
        <v>1</v>
      </c>
    </row>
    <row r="202" spans="1:7" x14ac:dyDescent="0.15">
      <c r="A202">
        <v>10601003</v>
      </c>
      <c r="B202">
        <v>4</v>
      </c>
      <c r="C202">
        <v>160</v>
      </c>
      <c r="D202">
        <v>180</v>
      </c>
      <c r="E202" t="s">
        <v>544</v>
      </c>
      <c r="F202" t="s">
        <v>32</v>
      </c>
      <c r="G202">
        <v>1</v>
      </c>
    </row>
    <row r="203" spans="1:7" x14ac:dyDescent="0.15">
      <c r="A203">
        <v>10601004</v>
      </c>
      <c r="B203">
        <v>1</v>
      </c>
      <c r="C203">
        <v>30</v>
      </c>
      <c r="D203">
        <v>50</v>
      </c>
      <c r="E203" t="s">
        <v>544</v>
      </c>
      <c r="F203" t="s">
        <v>32</v>
      </c>
      <c r="G203">
        <v>1</v>
      </c>
    </row>
    <row r="204" spans="1:7" x14ac:dyDescent="0.15">
      <c r="A204">
        <v>10601005</v>
      </c>
      <c r="B204">
        <v>5</v>
      </c>
      <c r="C204">
        <v>230</v>
      </c>
      <c r="D204">
        <v>230</v>
      </c>
      <c r="E204" t="s">
        <v>544</v>
      </c>
      <c r="F204" t="s">
        <v>32</v>
      </c>
      <c r="G204">
        <v>1</v>
      </c>
    </row>
    <row r="205" spans="1:7" x14ac:dyDescent="0.15">
      <c r="A205">
        <v>10601101</v>
      </c>
      <c r="B205">
        <v>5</v>
      </c>
      <c r="C205">
        <v>230</v>
      </c>
      <c r="D205">
        <v>230</v>
      </c>
      <c r="E205" t="s">
        <v>7</v>
      </c>
      <c r="F205" t="s">
        <v>8</v>
      </c>
      <c r="G205">
        <v>1</v>
      </c>
    </row>
    <row r="206" spans="1:7" x14ac:dyDescent="0.15">
      <c r="A206">
        <v>10602001</v>
      </c>
      <c r="B206">
        <v>1</v>
      </c>
      <c r="C206">
        <v>30</v>
      </c>
      <c r="D206">
        <v>50</v>
      </c>
      <c r="E206" t="s">
        <v>545</v>
      </c>
      <c r="F206" t="s">
        <v>546</v>
      </c>
      <c r="G206">
        <v>0</v>
      </c>
    </row>
    <row r="207" spans="1:7" x14ac:dyDescent="0.15">
      <c r="A207">
        <v>10602002</v>
      </c>
      <c r="B207">
        <v>2</v>
      </c>
      <c r="C207">
        <v>70</v>
      </c>
      <c r="D207">
        <v>90</v>
      </c>
      <c r="E207" t="s">
        <v>545</v>
      </c>
      <c r="F207" t="s">
        <v>547</v>
      </c>
      <c r="G207">
        <v>0</v>
      </c>
    </row>
    <row r="208" spans="1:7" x14ac:dyDescent="0.15">
      <c r="A208">
        <v>10602003</v>
      </c>
      <c r="B208">
        <v>3</v>
      </c>
      <c r="C208">
        <v>110</v>
      </c>
      <c r="D208">
        <v>130</v>
      </c>
      <c r="E208" t="s">
        <v>545</v>
      </c>
      <c r="F208" t="s">
        <v>548</v>
      </c>
      <c r="G208">
        <v>0</v>
      </c>
    </row>
    <row r="209" spans="1:7" x14ac:dyDescent="0.15">
      <c r="A209">
        <v>10602004</v>
      </c>
      <c r="B209">
        <v>4</v>
      </c>
      <c r="C209">
        <v>160</v>
      </c>
      <c r="D209">
        <v>180</v>
      </c>
      <c r="E209" t="s">
        <v>545</v>
      </c>
      <c r="F209" t="s">
        <v>549</v>
      </c>
      <c r="G209">
        <v>0</v>
      </c>
    </row>
    <row r="210" spans="1:7" x14ac:dyDescent="0.15">
      <c r="A210">
        <v>10603001</v>
      </c>
      <c r="B210">
        <v>1</v>
      </c>
      <c r="C210">
        <v>30</v>
      </c>
      <c r="D210">
        <v>50</v>
      </c>
      <c r="E210" t="s">
        <v>550</v>
      </c>
      <c r="F210" t="s">
        <v>551</v>
      </c>
      <c r="G210">
        <v>0</v>
      </c>
    </row>
    <row r="211" spans="1:7" x14ac:dyDescent="0.15">
      <c r="A211">
        <v>10603002</v>
      </c>
      <c r="B211">
        <v>2</v>
      </c>
      <c r="C211">
        <v>70</v>
      </c>
      <c r="D211">
        <v>90</v>
      </c>
      <c r="E211" t="s">
        <v>550</v>
      </c>
      <c r="F211" t="s">
        <v>551</v>
      </c>
      <c r="G211">
        <v>0</v>
      </c>
    </row>
    <row r="212" spans="1:7" x14ac:dyDescent="0.15">
      <c r="A212">
        <v>10603003</v>
      </c>
      <c r="B212">
        <v>3</v>
      </c>
      <c r="C212">
        <v>110</v>
      </c>
      <c r="D212">
        <v>130</v>
      </c>
      <c r="E212" t="s">
        <v>550</v>
      </c>
      <c r="F212" t="s">
        <v>551</v>
      </c>
      <c r="G212">
        <v>0</v>
      </c>
    </row>
    <row r="213" spans="1:7" x14ac:dyDescent="0.15">
      <c r="A213">
        <v>10603004</v>
      </c>
      <c r="B213">
        <v>4</v>
      </c>
      <c r="C213">
        <v>160</v>
      </c>
      <c r="D213">
        <v>180</v>
      </c>
      <c r="E213" t="s">
        <v>550</v>
      </c>
      <c r="F213" t="s">
        <v>551</v>
      </c>
      <c r="G213">
        <v>0</v>
      </c>
    </row>
    <row r="214" spans="1:7" x14ac:dyDescent="0.15">
      <c r="A214">
        <v>10604000</v>
      </c>
      <c r="B214">
        <v>1</v>
      </c>
      <c r="C214">
        <v>30</v>
      </c>
      <c r="D214">
        <v>50</v>
      </c>
      <c r="E214" t="s">
        <v>552</v>
      </c>
      <c r="F214" t="s">
        <v>553</v>
      </c>
      <c r="G214">
        <v>0</v>
      </c>
    </row>
    <row r="215" spans="1:7" x14ac:dyDescent="0.15">
      <c r="A215">
        <v>10604001</v>
      </c>
      <c r="B215">
        <v>1</v>
      </c>
      <c r="C215">
        <v>30</v>
      </c>
      <c r="D215">
        <v>50</v>
      </c>
      <c r="E215" t="s">
        <v>552</v>
      </c>
      <c r="F215" t="s">
        <v>553</v>
      </c>
      <c r="G215">
        <v>0</v>
      </c>
    </row>
    <row r="216" spans="1:7" x14ac:dyDescent="0.15">
      <c r="A216">
        <v>10604002</v>
      </c>
      <c r="B216">
        <v>2</v>
      </c>
      <c r="C216">
        <v>70</v>
      </c>
      <c r="D216">
        <v>90</v>
      </c>
      <c r="E216" t="s">
        <v>552</v>
      </c>
      <c r="F216" t="s">
        <v>553</v>
      </c>
      <c r="G216">
        <v>0</v>
      </c>
    </row>
    <row r="217" spans="1:7" x14ac:dyDescent="0.15">
      <c r="A217">
        <v>10604003</v>
      </c>
      <c r="B217">
        <v>3</v>
      </c>
      <c r="C217">
        <v>110</v>
      </c>
      <c r="D217">
        <v>130</v>
      </c>
      <c r="E217" t="s">
        <v>552</v>
      </c>
      <c r="F217" t="s">
        <v>553</v>
      </c>
      <c r="G217">
        <v>0</v>
      </c>
    </row>
    <row r="218" spans="1:7" x14ac:dyDescent="0.15">
      <c r="A218">
        <v>10604004</v>
      </c>
      <c r="B218">
        <v>4</v>
      </c>
      <c r="C218">
        <v>160</v>
      </c>
      <c r="D218">
        <v>180</v>
      </c>
      <c r="E218" t="s">
        <v>552</v>
      </c>
      <c r="F218" t="s">
        <v>553</v>
      </c>
      <c r="G218">
        <v>0</v>
      </c>
    </row>
    <row r="219" spans="1:7" x14ac:dyDescent="0.15">
      <c r="A219">
        <v>10701101</v>
      </c>
      <c r="B219">
        <v>5</v>
      </c>
      <c r="C219">
        <v>230</v>
      </c>
      <c r="D219">
        <v>230</v>
      </c>
      <c r="E219" t="s">
        <v>554</v>
      </c>
      <c r="F219" t="s">
        <v>555</v>
      </c>
      <c r="G219">
        <v>0</v>
      </c>
    </row>
    <row r="220" spans="1:7" x14ac:dyDescent="0.15">
      <c r="A220">
        <v>10702001</v>
      </c>
      <c r="B220">
        <v>1</v>
      </c>
      <c r="C220">
        <v>30</v>
      </c>
      <c r="D220">
        <v>50</v>
      </c>
      <c r="E220" t="s">
        <v>556</v>
      </c>
      <c r="F220" t="s">
        <v>557</v>
      </c>
      <c r="G220">
        <v>0</v>
      </c>
    </row>
    <row r="221" spans="1:7" x14ac:dyDescent="0.15">
      <c r="A221">
        <v>10703001</v>
      </c>
      <c r="B221">
        <v>4</v>
      </c>
      <c r="C221">
        <v>160</v>
      </c>
      <c r="D221">
        <v>180</v>
      </c>
      <c r="E221" t="s">
        <v>558</v>
      </c>
      <c r="F221" t="s">
        <v>559</v>
      </c>
      <c r="G221">
        <v>0</v>
      </c>
    </row>
    <row r="222" spans="1:7" x14ac:dyDescent="0.15">
      <c r="A222">
        <v>10703002</v>
      </c>
      <c r="B222">
        <v>3</v>
      </c>
      <c r="C222">
        <v>110</v>
      </c>
      <c r="D222">
        <v>130</v>
      </c>
      <c r="E222" t="s">
        <v>558</v>
      </c>
      <c r="F222" t="s">
        <v>559</v>
      </c>
      <c r="G222">
        <v>0</v>
      </c>
    </row>
    <row r="223" spans="1:7" x14ac:dyDescent="0.15">
      <c r="A223">
        <v>10704001</v>
      </c>
      <c r="B223">
        <v>4</v>
      </c>
      <c r="C223">
        <v>160</v>
      </c>
      <c r="D223">
        <v>180</v>
      </c>
      <c r="E223" t="s">
        <v>560</v>
      </c>
      <c r="F223" t="s">
        <v>559</v>
      </c>
      <c r="G223">
        <v>0</v>
      </c>
    </row>
    <row r="224" spans="1:7" x14ac:dyDescent="0.15">
      <c r="A224">
        <v>10801001</v>
      </c>
      <c r="B224">
        <v>2</v>
      </c>
      <c r="C224">
        <v>70</v>
      </c>
      <c r="D224">
        <v>90</v>
      </c>
      <c r="E224" t="s">
        <v>561</v>
      </c>
      <c r="F224" t="s">
        <v>33</v>
      </c>
      <c r="G224">
        <v>1</v>
      </c>
    </row>
    <row r="225" spans="1:7" x14ac:dyDescent="0.15">
      <c r="A225">
        <v>10801002</v>
      </c>
      <c r="B225">
        <v>3</v>
      </c>
      <c r="C225">
        <v>110</v>
      </c>
      <c r="D225">
        <v>130</v>
      </c>
      <c r="E225" t="s">
        <v>561</v>
      </c>
      <c r="F225" t="s">
        <v>33</v>
      </c>
      <c r="G225">
        <v>1</v>
      </c>
    </row>
    <row r="226" spans="1:7" x14ac:dyDescent="0.15">
      <c r="A226">
        <v>10801003</v>
      </c>
      <c r="B226">
        <v>4</v>
      </c>
      <c r="C226">
        <v>160</v>
      </c>
      <c r="D226">
        <v>180</v>
      </c>
      <c r="E226" t="s">
        <v>561</v>
      </c>
      <c r="F226" t="s">
        <v>33</v>
      </c>
      <c r="G226">
        <v>1</v>
      </c>
    </row>
    <row r="227" spans="1:7" x14ac:dyDescent="0.15">
      <c r="A227">
        <v>10801004</v>
      </c>
      <c r="B227">
        <v>1</v>
      </c>
      <c r="C227">
        <v>30</v>
      </c>
      <c r="D227">
        <v>50</v>
      </c>
      <c r="E227" t="s">
        <v>561</v>
      </c>
      <c r="F227" t="s">
        <v>33</v>
      </c>
      <c r="G227">
        <v>1</v>
      </c>
    </row>
    <row r="228" spans="1:7" x14ac:dyDescent="0.15">
      <c r="A228">
        <v>10802001</v>
      </c>
      <c r="B228">
        <v>1</v>
      </c>
      <c r="C228">
        <v>30</v>
      </c>
      <c r="D228">
        <v>50</v>
      </c>
      <c r="E228" t="s">
        <v>34</v>
      </c>
      <c r="F228" t="s">
        <v>562</v>
      </c>
      <c r="G228">
        <v>1</v>
      </c>
    </row>
    <row r="229" spans="1:7" x14ac:dyDescent="0.15">
      <c r="A229">
        <v>10802002</v>
      </c>
      <c r="B229">
        <v>2</v>
      </c>
      <c r="C229">
        <v>70</v>
      </c>
      <c r="D229">
        <v>90</v>
      </c>
      <c r="E229" t="s">
        <v>34</v>
      </c>
      <c r="F229" t="s">
        <v>562</v>
      </c>
      <c r="G229">
        <v>1</v>
      </c>
    </row>
    <row r="230" spans="1:7" x14ac:dyDescent="0.15">
      <c r="A230">
        <v>10802003</v>
      </c>
      <c r="B230">
        <v>3</v>
      </c>
      <c r="C230">
        <v>110</v>
      </c>
      <c r="D230">
        <v>130</v>
      </c>
      <c r="E230" t="s">
        <v>34</v>
      </c>
      <c r="F230" t="s">
        <v>562</v>
      </c>
      <c r="G230">
        <v>1</v>
      </c>
    </row>
    <row r="231" spans="1:7" x14ac:dyDescent="0.15">
      <c r="A231">
        <v>10802004</v>
      </c>
      <c r="B231">
        <v>4</v>
      </c>
      <c r="C231">
        <v>160</v>
      </c>
      <c r="D231">
        <v>180</v>
      </c>
      <c r="E231" t="s">
        <v>34</v>
      </c>
      <c r="F231" t="s">
        <v>562</v>
      </c>
      <c r="G231">
        <v>1</v>
      </c>
    </row>
    <row r="232" spans="1:7" x14ac:dyDescent="0.15">
      <c r="A232">
        <v>10101201</v>
      </c>
      <c r="B232">
        <v>1</v>
      </c>
      <c r="C232">
        <v>30</v>
      </c>
      <c r="D232">
        <v>50</v>
      </c>
      <c r="E232" t="s">
        <v>476</v>
      </c>
      <c r="G232">
        <v>0</v>
      </c>
    </row>
    <row r="233" spans="1:7" x14ac:dyDescent="0.15">
      <c r="A233">
        <v>10107201</v>
      </c>
      <c r="B233">
        <v>1</v>
      </c>
      <c r="C233">
        <v>30</v>
      </c>
      <c r="D233">
        <v>50</v>
      </c>
      <c r="E233" t="s">
        <v>16</v>
      </c>
      <c r="G233">
        <v>0</v>
      </c>
    </row>
    <row r="234" spans="1:7" x14ac:dyDescent="0.15">
      <c r="A234">
        <v>10108201</v>
      </c>
      <c r="B234">
        <v>1</v>
      </c>
      <c r="C234">
        <v>30</v>
      </c>
      <c r="D234">
        <v>50</v>
      </c>
      <c r="E234" t="s">
        <v>482</v>
      </c>
      <c r="G234">
        <v>0</v>
      </c>
    </row>
    <row r="235" spans="1:7" x14ac:dyDescent="0.15">
      <c r="A235">
        <v>10109201</v>
      </c>
      <c r="B235">
        <v>1</v>
      </c>
      <c r="C235">
        <v>30</v>
      </c>
      <c r="D235">
        <v>50</v>
      </c>
      <c r="E235" t="s">
        <v>484</v>
      </c>
      <c r="G235">
        <v>0</v>
      </c>
    </row>
    <row r="236" spans="1:7" x14ac:dyDescent="0.15">
      <c r="A236">
        <v>10403201</v>
      </c>
      <c r="B236">
        <v>1</v>
      </c>
      <c r="C236">
        <v>30</v>
      </c>
      <c r="D236">
        <v>50</v>
      </c>
      <c r="E236" t="s">
        <v>514</v>
      </c>
      <c r="G236">
        <v>0</v>
      </c>
    </row>
    <row r="237" spans="1:7" x14ac:dyDescent="0.15">
      <c r="A237">
        <v>10404201</v>
      </c>
      <c r="B237">
        <v>1</v>
      </c>
      <c r="C237">
        <v>30</v>
      </c>
      <c r="D237">
        <v>50</v>
      </c>
      <c r="E237" t="s">
        <v>520</v>
      </c>
      <c r="G237">
        <v>0</v>
      </c>
    </row>
    <row r="238" spans="1:7" x14ac:dyDescent="0.15">
      <c r="A238">
        <v>10406201</v>
      </c>
      <c r="B238">
        <v>1</v>
      </c>
      <c r="C238">
        <v>30</v>
      </c>
      <c r="D238">
        <v>50</v>
      </c>
      <c r="E238" t="s">
        <v>524</v>
      </c>
      <c r="G238">
        <v>0</v>
      </c>
    </row>
    <row r="239" spans="1:7" x14ac:dyDescent="0.15">
      <c r="A239">
        <v>10409201</v>
      </c>
      <c r="B239">
        <v>1</v>
      </c>
      <c r="C239">
        <v>30</v>
      </c>
      <c r="D239">
        <v>50</v>
      </c>
      <c r="E239" t="s">
        <v>530</v>
      </c>
      <c r="G239">
        <v>0</v>
      </c>
    </row>
    <row r="240" spans="1:7" x14ac:dyDescent="0.15">
      <c r="A240">
        <v>10503201</v>
      </c>
      <c r="B240">
        <v>1</v>
      </c>
      <c r="C240">
        <v>30</v>
      </c>
      <c r="D240">
        <v>50</v>
      </c>
      <c r="E240" t="s">
        <v>534</v>
      </c>
      <c r="G240">
        <v>0</v>
      </c>
    </row>
    <row r="241" spans="1:7" x14ac:dyDescent="0.15">
      <c r="A241">
        <v>10506201</v>
      </c>
      <c r="B241">
        <v>1</v>
      </c>
      <c r="C241">
        <v>30</v>
      </c>
      <c r="D241">
        <v>50</v>
      </c>
      <c r="E241" t="s">
        <v>540</v>
      </c>
      <c r="G241">
        <v>0</v>
      </c>
    </row>
    <row r="242" spans="1:7" x14ac:dyDescent="0.15">
      <c r="A242">
        <v>10306201</v>
      </c>
      <c r="B242">
        <v>1</v>
      </c>
      <c r="C242">
        <v>30</v>
      </c>
      <c r="D242">
        <v>50</v>
      </c>
      <c r="E242" t="s">
        <v>510</v>
      </c>
      <c r="G242">
        <v>0</v>
      </c>
    </row>
    <row r="243" spans="1:7" x14ac:dyDescent="0.15">
      <c r="A243">
        <v>10203201</v>
      </c>
      <c r="B243">
        <v>1</v>
      </c>
      <c r="C243">
        <v>30</v>
      </c>
      <c r="D243">
        <v>50</v>
      </c>
      <c r="E243" t="s">
        <v>492</v>
      </c>
      <c r="G243">
        <v>0</v>
      </c>
    </row>
    <row r="244" spans="1:7" x14ac:dyDescent="0.15">
      <c r="A244">
        <v>10204201</v>
      </c>
      <c r="B244">
        <v>1</v>
      </c>
      <c r="C244">
        <v>30</v>
      </c>
      <c r="D244">
        <v>50</v>
      </c>
      <c r="E244" t="s">
        <v>493</v>
      </c>
      <c r="G244">
        <v>0</v>
      </c>
    </row>
    <row r="245" spans="1:7" x14ac:dyDescent="0.15">
      <c r="A245">
        <v>10205201</v>
      </c>
      <c r="B245">
        <v>1</v>
      </c>
      <c r="C245">
        <v>30</v>
      </c>
      <c r="D245">
        <v>50</v>
      </c>
      <c r="E245" t="s">
        <v>496</v>
      </c>
      <c r="G245">
        <v>0</v>
      </c>
    </row>
    <row r="246" spans="1:7" x14ac:dyDescent="0.15">
      <c r="A246">
        <v>10602201</v>
      </c>
      <c r="B246">
        <v>1</v>
      </c>
      <c r="C246">
        <v>30</v>
      </c>
      <c r="D246">
        <v>50</v>
      </c>
      <c r="E246" t="s">
        <v>545</v>
      </c>
      <c r="G246">
        <v>0</v>
      </c>
    </row>
    <row r="247" spans="1:7" x14ac:dyDescent="0.15">
      <c r="A247">
        <v>10604201</v>
      </c>
      <c r="B247">
        <v>1</v>
      </c>
      <c r="C247">
        <v>30</v>
      </c>
      <c r="D247">
        <v>50</v>
      </c>
      <c r="E247" t="s">
        <v>552</v>
      </c>
      <c r="G247">
        <v>0</v>
      </c>
    </row>
    <row r="248" spans="1:7" x14ac:dyDescent="0.15">
      <c r="A248">
        <v>10802201</v>
      </c>
      <c r="B248">
        <v>1</v>
      </c>
      <c r="C248">
        <v>30</v>
      </c>
      <c r="D248">
        <v>50</v>
      </c>
      <c r="E248" t="s">
        <v>34</v>
      </c>
      <c r="G248">
        <v>0</v>
      </c>
    </row>
    <row r="249" spans="1:7" x14ac:dyDescent="0.15">
      <c r="A249">
        <v>10702201</v>
      </c>
      <c r="B249">
        <v>1</v>
      </c>
      <c r="C249">
        <v>30</v>
      </c>
      <c r="D249">
        <v>50</v>
      </c>
      <c r="E249" t="s">
        <v>556</v>
      </c>
      <c r="G249">
        <v>0</v>
      </c>
    </row>
    <row r="250" spans="1:7" x14ac:dyDescent="0.15">
      <c r="A250">
        <v>100101001</v>
      </c>
      <c r="B250">
        <v>2</v>
      </c>
      <c r="C250">
        <v>35</v>
      </c>
      <c r="D250">
        <v>45</v>
      </c>
      <c r="E250" t="s">
        <v>116</v>
      </c>
      <c r="F250" t="s">
        <v>563</v>
      </c>
      <c r="G250">
        <v>1</v>
      </c>
    </row>
    <row r="251" spans="1:7" x14ac:dyDescent="0.15">
      <c r="A251">
        <v>100102001</v>
      </c>
      <c r="B251">
        <v>3</v>
      </c>
      <c r="C251">
        <v>55</v>
      </c>
      <c r="D251">
        <v>65</v>
      </c>
      <c r="E251" t="s">
        <v>117</v>
      </c>
      <c r="F251" t="s">
        <v>564</v>
      </c>
      <c r="G251">
        <v>1</v>
      </c>
    </row>
    <row r="252" spans="1:7" x14ac:dyDescent="0.15">
      <c r="A252">
        <v>100102050</v>
      </c>
      <c r="B252">
        <v>3</v>
      </c>
      <c r="C252">
        <v>55</v>
      </c>
      <c r="D252">
        <v>65</v>
      </c>
      <c r="E252" t="s">
        <v>117</v>
      </c>
      <c r="F252" t="s">
        <v>564</v>
      </c>
      <c r="G252">
        <v>0</v>
      </c>
    </row>
    <row r="253" spans="1:7" x14ac:dyDescent="0.15">
      <c r="A253">
        <v>100103001</v>
      </c>
      <c r="B253">
        <v>1</v>
      </c>
      <c r="C253">
        <v>15</v>
      </c>
      <c r="D253">
        <v>25</v>
      </c>
      <c r="E253" t="s">
        <v>118</v>
      </c>
      <c r="F253" t="s">
        <v>565</v>
      </c>
      <c r="G253">
        <v>1</v>
      </c>
    </row>
    <row r="254" spans="1:7" x14ac:dyDescent="0.15">
      <c r="A254">
        <v>100103002</v>
      </c>
      <c r="B254">
        <v>1</v>
      </c>
      <c r="C254">
        <v>15</v>
      </c>
      <c r="D254">
        <v>25</v>
      </c>
      <c r="E254" t="s">
        <v>119</v>
      </c>
      <c r="F254" t="s">
        <v>565</v>
      </c>
      <c r="G254">
        <v>1</v>
      </c>
    </row>
    <row r="255" spans="1:7" x14ac:dyDescent="0.15">
      <c r="A255">
        <v>100103003</v>
      </c>
      <c r="B255">
        <v>1</v>
      </c>
      <c r="C255">
        <v>15</v>
      </c>
      <c r="D255">
        <v>25</v>
      </c>
      <c r="E255" t="s">
        <v>120</v>
      </c>
      <c r="F255" t="s">
        <v>565</v>
      </c>
      <c r="G255">
        <v>1</v>
      </c>
    </row>
    <row r="256" spans="1:7" x14ac:dyDescent="0.15">
      <c r="A256">
        <v>100103004</v>
      </c>
      <c r="B256">
        <v>1</v>
      </c>
      <c r="C256">
        <v>15</v>
      </c>
      <c r="D256">
        <v>25</v>
      </c>
      <c r="E256" t="s">
        <v>121</v>
      </c>
      <c r="F256" t="s">
        <v>565</v>
      </c>
      <c r="G256">
        <v>1</v>
      </c>
    </row>
    <row r="257" spans="1:7" x14ac:dyDescent="0.15">
      <c r="A257">
        <v>100103005</v>
      </c>
      <c r="B257">
        <v>1</v>
      </c>
      <c r="C257">
        <v>55</v>
      </c>
      <c r="D257">
        <v>65</v>
      </c>
      <c r="E257" t="s">
        <v>122</v>
      </c>
      <c r="F257" t="s">
        <v>565</v>
      </c>
      <c r="G257">
        <v>1</v>
      </c>
    </row>
    <row r="258" spans="1:7" x14ac:dyDescent="0.15">
      <c r="A258">
        <v>100103006</v>
      </c>
      <c r="B258">
        <v>1</v>
      </c>
      <c r="C258">
        <v>15</v>
      </c>
      <c r="D258">
        <v>25</v>
      </c>
      <c r="E258" t="s">
        <v>118</v>
      </c>
      <c r="F258" t="s">
        <v>566</v>
      </c>
      <c r="G258">
        <v>0</v>
      </c>
    </row>
    <row r="259" spans="1:7" x14ac:dyDescent="0.15">
      <c r="A259">
        <v>100103007</v>
      </c>
      <c r="B259">
        <v>1</v>
      </c>
      <c r="C259">
        <v>15</v>
      </c>
      <c r="D259">
        <v>25</v>
      </c>
      <c r="E259" t="s">
        <v>119</v>
      </c>
      <c r="F259" t="s">
        <v>566</v>
      </c>
      <c r="G259">
        <v>0</v>
      </c>
    </row>
    <row r="260" spans="1:7" x14ac:dyDescent="0.15">
      <c r="A260">
        <v>100103008</v>
      </c>
      <c r="B260">
        <v>1</v>
      </c>
      <c r="C260">
        <v>15</v>
      </c>
      <c r="D260">
        <v>25</v>
      </c>
      <c r="E260" t="s">
        <v>120</v>
      </c>
      <c r="F260" t="s">
        <v>566</v>
      </c>
      <c r="G260">
        <v>0</v>
      </c>
    </row>
    <row r="261" spans="1:7" x14ac:dyDescent="0.15">
      <c r="A261">
        <v>100103009</v>
      </c>
      <c r="B261">
        <v>1</v>
      </c>
      <c r="C261">
        <v>15</v>
      </c>
      <c r="D261">
        <v>25</v>
      </c>
      <c r="E261" t="s">
        <v>121</v>
      </c>
      <c r="F261" t="s">
        <v>566</v>
      </c>
      <c r="G261">
        <v>0</v>
      </c>
    </row>
    <row r="262" spans="1:7" x14ac:dyDescent="0.15">
      <c r="A262">
        <v>100103010</v>
      </c>
      <c r="B262">
        <v>3</v>
      </c>
      <c r="C262">
        <v>55</v>
      </c>
      <c r="D262">
        <v>65</v>
      </c>
      <c r="E262" t="s">
        <v>122</v>
      </c>
      <c r="F262" t="s">
        <v>566</v>
      </c>
      <c r="G262">
        <v>0</v>
      </c>
    </row>
    <row r="263" spans="1:7" x14ac:dyDescent="0.15">
      <c r="A263">
        <v>100104001</v>
      </c>
      <c r="B263">
        <v>2</v>
      </c>
      <c r="C263">
        <v>55</v>
      </c>
      <c r="D263">
        <v>65</v>
      </c>
      <c r="E263" t="s">
        <v>131</v>
      </c>
      <c r="F263" t="s">
        <v>567</v>
      </c>
      <c r="G263">
        <v>1</v>
      </c>
    </row>
    <row r="264" spans="1:7" x14ac:dyDescent="0.15">
      <c r="A264">
        <v>100104002</v>
      </c>
      <c r="B264">
        <v>2</v>
      </c>
      <c r="C264">
        <v>35</v>
      </c>
      <c r="D264">
        <v>45</v>
      </c>
      <c r="E264" t="s">
        <v>132</v>
      </c>
      <c r="F264" t="s">
        <v>567</v>
      </c>
      <c r="G264">
        <v>1</v>
      </c>
    </row>
    <row r="265" spans="1:7" x14ac:dyDescent="0.15">
      <c r="A265">
        <v>100106001</v>
      </c>
      <c r="B265">
        <v>2</v>
      </c>
      <c r="C265">
        <v>35</v>
      </c>
      <c r="D265">
        <v>45</v>
      </c>
      <c r="E265" t="s">
        <v>133</v>
      </c>
      <c r="F265" t="s">
        <v>568</v>
      </c>
      <c r="G265">
        <v>1</v>
      </c>
    </row>
    <row r="266" spans="1:7" x14ac:dyDescent="0.15">
      <c r="A266">
        <v>100107001</v>
      </c>
      <c r="B266">
        <v>3</v>
      </c>
      <c r="C266">
        <v>55</v>
      </c>
      <c r="D266">
        <v>65</v>
      </c>
      <c r="E266" t="s">
        <v>140</v>
      </c>
      <c r="F266" t="s">
        <v>569</v>
      </c>
      <c r="G266">
        <v>1</v>
      </c>
    </row>
    <row r="267" spans="1:7" x14ac:dyDescent="0.15">
      <c r="A267">
        <v>100107002</v>
      </c>
      <c r="B267">
        <v>3</v>
      </c>
      <c r="C267">
        <v>55</v>
      </c>
      <c r="D267">
        <v>65</v>
      </c>
      <c r="E267" t="s">
        <v>141</v>
      </c>
      <c r="F267" t="s">
        <v>569</v>
      </c>
      <c r="G267">
        <v>1</v>
      </c>
    </row>
    <row r="268" spans="1:7" x14ac:dyDescent="0.15">
      <c r="A268">
        <v>100107003</v>
      </c>
      <c r="B268">
        <v>3</v>
      </c>
      <c r="C268">
        <v>55</v>
      </c>
      <c r="D268">
        <v>65</v>
      </c>
      <c r="E268" t="s">
        <v>142</v>
      </c>
      <c r="F268" t="s">
        <v>569</v>
      </c>
      <c r="G268">
        <v>1</v>
      </c>
    </row>
    <row r="269" spans="1:7" x14ac:dyDescent="0.15">
      <c r="A269">
        <v>100107004</v>
      </c>
      <c r="B269">
        <v>3</v>
      </c>
      <c r="C269">
        <v>55</v>
      </c>
      <c r="D269">
        <v>65</v>
      </c>
      <c r="E269" t="s">
        <v>143</v>
      </c>
      <c r="F269" t="s">
        <v>569</v>
      </c>
      <c r="G269">
        <v>1</v>
      </c>
    </row>
    <row r="270" spans="1:7" x14ac:dyDescent="0.15">
      <c r="A270">
        <v>100107005</v>
      </c>
      <c r="B270">
        <v>1</v>
      </c>
      <c r="C270">
        <v>55</v>
      </c>
      <c r="D270">
        <v>65</v>
      </c>
      <c r="E270" t="s">
        <v>144</v>
      </c>
      <c r="F270" t="s">
        <v>569</v>
      </c>
      <c r="G270">
        <v>1</v>
      </c>
    </row>
    <row r="271" spans="1:7" x14ac:dyDescent="0.15">
      <c r="A271">
        <v>100108001</v>
      </c>
      <c r="B271">
        <v>4</v>
      </c>
      <c r="C271">
        <v>85</v>
      </c>
      <c r="D271">
        <v>95</v>
      </c>
      <c r="E271" t="s">
        <v>570</v>
      </c>
      <c r="F271" t="s">
        <v>147</v>
      </c>
      <c r="G271">
        <v>1</v>
      </c>
    </row>
    <row r="272" spans="1:7" x14ac:dyDescent="0.15">
      <c r="A272">
        <v>100108002</v>
      </c>
      <c r="B272">
        <v>1</v>
      </c>
      <c r="C272">
        <v>15</v>
      </c>
      <c r="D272">
        <v>25</v>
      </c>
      <c r="E272" t="s">
        <v>571</v>
      </c>
      <c r="F272" t="s">
        <v>572</v>
      </c>
      <c r="G272">
        <v>0</v>
      </c>
    </row>
    <row r="273" spans="1:7" x14ac:dyDescent="0.15">
      <c r="A273">
        <v>100108003</v>
      </c>
      <c r="B273">
        <v>1</v>
      </c>
      <c r="C273">
        <v>15</v>
      </c>
      <c r="D273">
        <v>25</v>
      </c>
      <c r="E273" t="s">
        <v>571</v>
      </c>
      <c r="F273" t="s">
        <v>573</v>
      </c>
      <c r="G273">
        <v>0</v>
      </c>
    </row>
    <row r="274" spans="1:7" x14ac:dyDescent="0.15">
      <c r="A274">
        <v>100108050</v>
      </c>
      <c r="B274">
        <v>4</v>
      </c>
      <c r="C274">
        <v>85</v>
      </c>
      <c r="D274">
        <v>95</v>
      </c>
      <c r="E274" t="s">
        <v>570</v>
      </c>
      <c r="F274" t="s">
        <v>147</v>
      </c>
      <c r="G274">
        <v>0</v>
      </c>
    </row>
    <row r="275" spans="1:7" x14ac:dyDescent="0.15">
      <c r="A275">
        <v>100109001</v>
      </c>
      <c r="B275">
        <v>2</v>
      </c>
      <c r="C275">
        <v>35</v>
      </c>
      <c r="D275">
        <v>45</v>
      </c>
      <c r="E275" t="s">
        <v>574</v>
      </c>
      <c r="F275" t="s">
        <v>575</v>
      </c>
      <c r="G275">
        <v>0</v>
      </c>
    </row>
    <row r="276" spans="1:7" x14ac:dyDescent="0.15">
      <c r="A276">
        <v>100201001</v>
      </c>
      <c r="B276">
        <v>5</v>
      </c>
      <c r="C276">
        <v>130</v>
      </c>
      <c r="D276">
        <v>130</v>
      </c>
      <c r="E276" t="s">
        <v>123</v>
      </c>
      <c r="F276" t="s">
        <v>124</v>
      </c>
      <c r="G276">
        <v>1</v>
      </c>
    </row>
    <row r="277" spans="1:7" x14ac:dyDescent="0.15">
      <c r="A277">
        <v>100201002</v>
      </c>
      <c r="B277">
        <v>5</v>
      </c>
      <c r="C277">
        <v>130</v>
      </c>
      <c r="D277">
        <v>130</v>
      </c>
      <c r="E277" t="s">
        <v>125</v>
      </c>
      <c r="F277" t="s">
        <v>126</v>
      </c>
      <c r="G277">
        <v>1</v>
      </c>
    </row>
    <row r="278" spans="1:7" x14ac:dyDescent="0.15">
      <c r="A278">
        <v>100201003</v>
      </c>
      <c r="B278">
        <v>5</v>
      </c>
      <c r="C278">
        <v>130</v>
      </c>
      <c r="D278">
        <v>130</v>
      </c>
      <c r="E278" t="s">
        <v>127</v>
      </c>
      <c r="F278" t="s">
        <v>128</v>
      </c>
      <c r="G278">
        <v>1</v>
      </c>
    </row>
    <row r="279" spans="1:7" x14ac:dyDescent="0.15">
      <c r="A279">
        <v>100201004</v>
      </c>
      <c r="B279">
        <v>5</v>
      </c>
      <c r="C279">
        <v>130</v>
      </c>
      <c r="D279">
        <v>130</v>
      </c>
      <c r="E279" t="s">
        <v>129</v>
      </c>
      <c r="F279" t="s">
        <v>130</v>
      </c>
      <c r="G279">
        <v>1</v>
      </c>
    </row>
    <row r="280" spans="1:7" x14ac:dyDescent="0.15">
      <c r="A280">
        <v>100201008</v>
      </c>
      <c r="B280">
        <v>4</v>
      </c>
      <c r="C280">
        <v>85</v>
      </c>
      <c r="D280">
        <v>95</v>
      </c>
      <c r="E280" t="s">
        <v>134</v>
      </c>
      <c r="F280" t="s">
        <v>135</v>
      </c>
      <c r="G280">
        <v>1</v>
      </c>
    </row>
    <row r="281" spans="1:7" x14ac:dyDescent="0.15">
      <c r="A281">
        <v>100201009</v>
      </c>
      <c r="B281">
        <v>3</v>
      </c>
      <c r="C281">
        <v>55</v>
      </c>
      <c r="D281">
        <v>65</v>
      </c>
      <c r="E281" t="s">
        <v>145</v>
      </c>
      <c r="F281" t="s">
        <v>146</v>
      </c>
      <c r="G281">
        <v>1</v>
      </c>
    </row>
    <row r="282" spans="1:7" x14ac:dyDescent="0.15">
      <c r="A282">
        <v>100201010</v>
      </c>
      <c r="B282">
        <v>4</v>
      </c>
      <c r="C282">
        <v>85</v>
      </c>
      <c r="D282">
        <v>95</v>
      </c>
      <c r="E282" t="s">
        <v>150</v>
      </c>
      <c r="F282" t="s">
        <v>151</v>
      </c>
      <c r="G282">
        <v>1</v>
      </c>
    </row>
    <row r="283" spans="1:7" x14ac:dyDescent="0.15">
      <c r="A283">
        <v>100201011</v>
      </c>
      <c r="B283">
        <v>4</v>
      </c>
      <c r="C283">
        <v>85</v>
      </c>
      <c r="D283">
        <v>95</v>
      </c>
      <c r="E283" t="s">
        <v>152</v>
      </c>
      <c r="F283" t="s">
        <v>153</v>
      </c>
      <c r="G283">
        <v>1</v>
      </c>
    </row>
    <row r="284" spans="1:7" x14ac:dyDescent="0.15">
      <c r="A284">
        <v>100201012</v>
      </c>
      <c r="B284">
        <v>3</v>
      </c>
      <c r="C284">
        <v>55</v>
      </c>
      <c r="D284">
        <v>65</v>
      </c>
      <c r="E284" t="s">
        <v>154</v>
      </c>
      <c r="F284" t="s">
        <v>155</v>
      </c>
      <c r="G284">
        <v>0</v>
      </c>
    </row>
    <row r="285" spans="1:7" x14ac:dyDescent="0.15">
      <c r="A285">
        <v>100201013</v>
      </c>
      <c r="B285">
        <v>4</v>
      </c>
      <c r="C285">
        <v>85</v>
      </c>
      <c r="D285">
        <v>95</v>
      </c>
      <c r="E285" t="s">
        <v>158</v>
      </c>
      <c r="F285" t="s">
        <v>159</v>
      </c>
      <c r="G285">
        <v>0</v>
      </c>
    </row>
    <row r="286" spans="1:7" x14ac:dyDescent="0.15">
      <c r="A286">
        <v>100201014</v>
      </c>
      <c r="B286">
        <v>4</v>
      </c>
      <c r="C286">
        <v>85</v>
      </c>
      <c r="D286">
        <v>95</v>
      </c>
      <c r="E286" t="s">
        <v>160</v>
      </c>
      <c r="F286" t="s">
        <v>161</v>
      </c>
      <c r="G286">
        <v>0</v>
      </c>
    </row>
    <row r="287" spans="1:7" x14ac:dyDescent="0.15">
      <c r="A287">
        <v>100201016</v>
      </c>
      <c r="B287">
        <v>4</v>
      </c>
      <c r="C287">
        <v>85</v>
      </c>
      <c r="D287">
        <v>95</v>
      </c>
      <c r="E287" t="s">
        <v>576</v>
      </c>
      <c r="F287" t="s">
        <v>577</v>
      </c>
      <c r="G287">
        <v>0</v>
      </c>
    </row>
    <row r="288" spans="1:7" x14ac:dyDescent="0.15">
      <c r="A288">
        <v>100201017</v>
      </c>
      <c r="B288">
        <v>4</v>
      </c>
      <c r="C288">
        <v>85</v>
      </c>
      <c r="D288">
        <v>95</v>
      </c>
      <c r="E288" t="s">
        <v>578</v>
      </c>
      <c r="F288" t="s">
        <v>579</v>
      </c>
      <c r="G288">
        <v>0</v>
      </c>
    </row>
    <row r="289" spans="1:7" x14ac:dyDescent="0.15">
      <c r="A289">
        <v>100201021</v>
      </c>
      <c r="B289">
        <v>3</v>
      </c>
      <c r="C289">
        <v>55</v>
      </c>
      <c r="D289">
        <v>65</v>
      </c>
      <c r="E289" t="s">
        <v>580</v>
      </c>
      <c r="F289" t="s">
        <v>581</v>
      </c>
      <c r="G289">
        <v>0</v>
      </c>
    </row>
    <row r="290" spans="1:7" x14ac:dyDescent="0.15">
      <c r="A290">
        <v>100202001</v>
      </c>
      <c r="B290">
        <v>4</v>
      </c>
      <c r="C290">
        <v>85</v>
      </c>
      <c r="D290">
        <v>95</v>
      </c>
      <c r="E290" t="s">
        <v>136</v>
      </c>
      <c r="F290" t="s">
        <v>137</v>
      </c>
      <c r="G290">
        <v>1</v>
      </c>
    </row>
    <row r="291" spans="1:7" x14ac:dyDescent="0.15">
      <c r="A291">
        <v>100202002</v>
      </c>
      <c r="B291">
        <v>4</v>
      </c>
      <c r="C291">
        <v>85</v>
      </c>
      <c r="D291">
        <v>95</v>
      </c>
      <c r="E291" t="s">
        <v>138</v>
      </c>
      <c r="F291" t="s">
        <v>139</v>
      </c>
      <c r="G291">
        <v>1</v>
      </c>
    </row>
    <row r="292" spans="1:7" x14ac:dyDescent="0.15">
      <c r="A292">
        <v>100202003</v>
      </c>
      <c r="B292">
        <v>4</v>
      </c>
      <c r="C292">
        <v>85</v>
      </c>
      <c r="D292">
        <v>95</v>
      </c>
      <c r="E292" t="s">
        <v>148</v>
      </c>
      <c r="F292" t="s">
        <v>149</v>
      </c>
      <c r="G292">
        <v>1</v>
      </c>
    </row>
    <row r="293" spans="1:7" x14ac:dyDescent="0.15">
      <c r="A293">
        <v>100202004</v>
      </c>
      <c r="B293">
        <v>4</v>
      </c>
      <c r="C293">
        <v>85</v>
      </c>
      <c r="D293">
        <v>95</v>
      </c>
      <c r="E293" t="s">
        <v>156</v>
      </c>
      <c r="F293" t="s">
        <v>157</v>
      </c>
      <c r="G293">
        <v>0</v>
      </c>
    </row>
    <row r="294" spans="1:7" x14ac:dyDescent="0.15">
      <c r="A294">
        <v>100202005</v>
      </c>
      <c r="B294">
        <v>5</v>
      </c>
      <c r="C294">
        <v>130</v>
      </c>
      <c r="D294">
        <v>130</v>
      </c>
      <c r="E294" t="s">
        <v>582</v>
      </c>
      <c r="F294" t="s">
        <v>583</v>
      </c>
      <c r="G294">
        <v>0</v>
      </c>
    </row>
    <row r="295" spans="1:7" x14ac:dyDescent="0.15">
      <c r="A295">
        <v>100202007</v>
      </c>
      <c r="B295">
        <v>3</v>
      </c>
      <c r="C295">
        <v>55</v>
      </c>
      <c r="D295">
        <v>65</v>
      </c>
      <c r="E295" t="s">
        <v>584</v>
      </c>
      <c r="F295" t="s">
        <v>585</v>
      </c>
      <c r="G295">
        <v>0</v>
      </c>
    </row>
    <row r="296" spans="1:7" x14ac:dyDescent="0.15">
      <c r="A296">
        <v>100202008</v>
      </c>
      <c r="B296">
        <v>5</v>
      </c>
      <c r="C296">
        <v>130</v>
      </c>
      <c r="D296">
        <v>130</v>
      </c>
      <c r="E296" t="s">
        <v>586</v>
      </c>
      <c r="F296" t="s">
        <v>587</v>
      </c>
      <c r="G296">
        <v>0</v>
      </c>
    </row>
    <row r="297" spans="1:7" x14ac:dyDescent="0.15">
      <c r="A297">
        <v>100202009</v>
      </c>
      <c r="B297">
        <v>4</v>
      </c>
      <c r="C297">
        <v>130</v>
      </c>
      <c r="D297">
        <v>130</v>
      </c>
      <c r="E297" t="s">
        <v>226</v>
      </c>
      <c r="F297" t="s">
        <v>588</v>
      </c>
      <c r="G297">
        <v>0</v>
      </c>
    </row>
    <row r="298" spans="1:7" x14ac:dyDescent="0.15">
      <c r="A298">
        <v>100202010</v>
      </c>
      <c r="B298">
        <v>3</v>
      </c>
      <c r="C298">
        <v>55</v>
      </c>
      <c r="D298">
        <v>65</v>
      </c>
      <c r="E298" t="s">
        <v>589</v>
      </c>
      <c r="F298" t="s">
        <v>590</v>
      </c>
      <c r="G298">
        <v>0</v>
      </c>
    </row>
    <row r="299" spans="1:7" x14ac:dyDescent="0.15">
      <c r="A299">
        <v>100202011</v>
      </c>
      <c r="B299">
        <v>4</v>
      </c>
      <c r="C299">
        <v>85</v>
      </c>
      <c r="D299">
        <v>95</v>
      </c>
      <c r="E299" t="s">
        <v>591</v>
      </c>
      <c r="F299" t="s">
        <v>592</v>
      </c>
      <c r="G299">
        <v>0</v>
      </c>
    </row>
    <row r="300" spans="1:7" x14ac:dyDescent="0.15">
      <c r="A300">
        <v>100201023</v>
      </c>
      <c r="B300">
        <v>3</v>
      </c>
      <c r="C300">
        <v>55</v>
      </c>
      <c r="D300">
        <v>65</v>
      </c>
      <c r="E300" t="s">
        <v>593</v>
      </c>
      <c r="F300" t="s">
        <v>594</v>
      </c>
      <c r="G300">
        <v>0</v>
      </c>
    </row>
    <row r="301" spans="1:7" x14ac:dyDescent="0.15">
      <c r="A301">
        <v>100203001</v>
      </c>
      <c r="B301">
        <v>4</v>
      </c>
      <c r="C301">
        <v>130</v>
      </c>
      <c r="D301">
        <v>130</v>
      </c>
      <c r="E301" t="s">
        <v>595</v>
      </c>
      <c r="F301" t="s">
        <v>596</v>
      </c>
      <c r="G301">
        <v>0</v>
      </c>
    </row>
    <row r="302" spans="1:7" x14ac:dyDescent="0.15">
      <c r="A302">
        <v>100110001</v>
      </c>
      <c r="B302">
        <v>2</v>
      </c>
      <c r="C302">
        <v>35</v>
      </c>
      <c r="D302">
        <v>45</v>
      </c>
      <c r="E302" t="s">
        <v>597</v>
      </c>
      <c r="F302" t="s">
        <v>598</v>
      </c>
      <c r="G302">
        <v>0</v>
      </c>
    </row>
    <row r="303" spans="1:7" x14ac:dyDescent="0.15">
      <c r="A303">
        <v>100202012</v>
      </c>
      <c r="B303">
        <v>3</v>
      </c>
      <c r="C303">
        <v>55</v>
      </c>
      <c r="D303">
        <v>65</v>
      </c>
      <c r="E303" t="s">
        <v>599</v>
      </c>
      <c r="F303" t="s">
        <v>600</v>
      </c>
      <c r="G303">
        <v>0</v>
      </c>
    </row>
    <row r="304" spans="1:7" x14ac:dyDescent="0.15">
      <c r="A304">
        <v>100102002</v>
      </c>
      <c r="B304">
        <v>1</v>
      </c>
      <c r="C304">
        <v>55</v>
      </c>
      <c r="D304">
        <v>65</v>
      </c>
      <c r="E304" t="s">
        <v>601</v>
      </c>
      <c r="F304" t="s">
        <v>564</v>
      </c>
      <c r="G304">
        <v>0</v>
      </c>
    </row>
    <row r="305" spans="1:7" x14ac:dyDescent="0.15">
      <c r="A305">
        <v>100102003</v>
      </c>
      <c r="B305">
        <v>3</v>
      </c>
      <c r="C305">
        <v>55</v>
      </c>
      <c r="D305">
        <v>65</v>
      </c>
      <c r="E305" t="s">
        <v>602</v>
      </c>
      <c r="F305" t="s">
        <v>564</v>
      </c>
      <c r="G305">
        <v>0</v>
      </c>
    </row>
    <row r="306" spans="1:7" x14ac:dyDescent="0.15">
      <c r="A306">
        <v>100102004</v>
      </c>
      <c r="B306">
        <v>3</v>
      </c>
      <c r="C306">
        <v>55</v>
      </c>
      <c r="D306">
        <v>65</v>
      </c>
      <c r="E306" t="s">
        <v>603</v>
      </c>
      <c r="F306" t="s">
        <v>564</v>
      </c>
      <c r="G306">
        <v>0</v>
      </c>
    </row>
    <row r="307" spans="1:7" x14ac:dyDescent="0.15">
      <c r="A307">
        <v>100102005</v>
      </c>
      <c r="B307">
        <v>3</v>
      </c>
      <c r="C307">
        <v>55</v>
      </c>
      <c r="D307">
        <v>65</v>
      </c>
      <c r="E307" t="s">
        <v>604</v>
      </c>
      <c r="F307" t="s">
        <v>564</v>
      </c>
      <c r="G307">
        <v>0</v>
      </c>
    </row>
    <row r="308" spans="1:7" x14ac:dyDescent="0.15">
      <c r="A308">
        <v>108801001</v>
      </c>
      <c r="B308">
        <v>1</v>
      </c>
      <c r="C308">
        <v>15</v>
      </c>
      <c r="D308">
        <v>25</v>
      </c>
      <c r="E308" t="s">
        <v>571</v>
      </c>
      <c r="F308" t="s">
        <v>572</v>
      </c>
      <c r="G308">
        <v>0</v>
      </c>
    </row>
    <row r="309" spans="1:7" x14ac:dyDescent="0.15">
      <c r="A309">
        <v>108801002</v>
      </c>
      <c r="B309">
        <v>1</v>
      </c>
      <c r="C309">
        <v>15</v>
      </c>
      <c r="D309">
        <v>25</v>
      </c>
      <c r="E309" t="s">
        <v>571</v>
      </c>
      <c r="F309" t="s">
        <v>573</v>
      </c>
      <c r="G309">
        <v>0</v>
      </c>
    </row>
    <row r="310" spans="1:7" x14ac:dyDescent="0.15">
      <c r="A310">
        <v>108801003</v>
      </c>
      <c r="B310">
        <v>1</v>
      </c>
      <c r="C310">
        <v>15</v>
      </c>
      <c r="D310">
        <v>25</v>
      </c>
      <c r="E310" t="s">
        <v>118</v>
      </c>
      <c r="F310" t="s">
        <v>565</v>
      </c>
      <c r="G310">
        <v>0</v>
      </c>
    </row>
    <row r="311" spans="1:7" x14ac:dyDescent="0.15">
      <c r="A311">
        <v>108801004</v>
      </c>
      <c r="B311">
        <v>1</v>
      </c>
      <c r="C311">
        <v>15</v>
      </c>
      <c r="D311">
        <v>25</v>
      </c>
      <c r="E311" t="s">
        <v>118</v>
      </c>
      <c r="F311" t="s">
        <v>566</v>
      </c>
      <c r="G311">
        <v>0</v>
      </c>
    </row>
    <row r="312" spans="1:7" x14ac:dyDescent="0.15">
      <c r="A312">
        <v>108801005</v>
      </c>
      <c r="B312">
        <v>1</v>
      </c>
      <c r="C312">
        <v>15</v>
      </c>
      <c r="D312">
        <v>25</v>
      </c>
      <c r="E312" t="s">
        <v>119</v>
      </c>
      <c r="F312" t="s">
        <v>565</v>
      </c>
      <c r="G312">
        <v>0</v>
      </c>
    </row>
    <row r="313" spans="1:7" x14ac:dyDescent="0.15">
      <c r="A313">
        <v>108801006</v>
      </c>
      <c r="B313">
        <v>1</v>
      </c>
      <c r="C313">
        <v>15</v>
      </c>
      <c r="D313">
        <v>25</v>
      </c>
      <c r="E313" t="s">
        <v>119</v>
      </c>
      <c r="F313" t="s">
        <v>566</v>
      </c>
      <c r="G313">
        <v>0</v>
      </c>
    </row>
    <row r="314" spans="1:7" x14ac:dyDescent="0.15">
      <c r="A314">
        <v>108801007</v>
      </c>
      <c r="B314">
        <v>1</v>
      </c>
      <c r="C314">
        <v>15</v>
      </c>
      <c r="D314">
        <v>25</v>
      </c>
      <c r="E314" t="s">
        <v>120</v>
      </c>
      <c r="F314" t="s">
        <v>565</v>
      </c>
      <c r="G314">
        <v>0</v>
      </c>
    </row>
    <row r="315" spans="1:7" x14ac:dyDescent="0.15">
      <c r="A315">
        <v>108801008</v>
      </c>
      <c r="B315">
        <v>1</v>
      </c>
      <c r="C315">
        <v>15</v>
      </c>
      <c r="D315">
        <v>25</v>
      </c>
      <c r="E315" t="s">
        <v>120</v>
      </c>
      <c r="F315" t="s">
        <v>566</v>
      </c>
      <c r="G315">
        <v>0</v>
      </c>
    </row>
    <row r="316" spans="1:7" x14ac:dyDescent="0.15">
      <c r="A316">
        <v>108801009</v>
      </c>
      <c r="B316">
        <v>1</v>
      </c>
      <c r="C316">
        <v>15</v>
      </c>
      <c r="D316">
        <v>25</v>
      </c>
      <c r="E316" t="s">
        <v>121</v>
      </c>
      <c r="F316" t="s">
        <v>565</v>
      </c>
      <c r="G316">
        <v>0</v>
      </c>
    </row>
    <row r="317" spans="1:7" x14ac:dyDescent="0.15">
      <c r="A317">
        <v>108801010</v>
      </c>
      <c r="B317">
        <v>2</v>
      </c>
      <c r="C317">
        <v>35</v>
      </c>
      <c r="D317">
        <v>45</v>
      </c>
      <c r="E317" t="s">
        <v>140</v>
      </c>
      <c r="F317" t="s">
        <v>569</v>
      </c>
      <c r="G317">
        <v>0</v>
      </c>
    </row>
    <row r="318" spans="1:7" x14ac:dyDescent="0.15">
      <c r="A318">
        <v>108801011</v>
      </c>
      <c r="B318">
        <v>2</v>
      </c>
      <c r="C318">
        <v>35</v>
      </c>
      <c r="D318">
        <v>45</v>
      </c>
      <c r="E318" t="s">
        <v>141</v>
      </c>
      <c r="F318" t="s">
        <v>569</v>
      </c>
      <c r="G318">
        <v>0</v>
      </c>
    </row>
    <row r="319" spans="1:7" x14ac:dyDescent="0.15">
      <c r="A319">
        <v>108801012</v>
      </c>
      <c r="B319">
        <v>2</v>
      </c>
      <c r="C319">
        <v>35</v>
      </c>
      <c r="D319">
        <v>45</v>
      </c>
      <c r="E319" t="s">
        <v>142</v>
      </c>
      <c r="F319" t="s">
        <v>569</v>
      </c>
      <c r="G319">
        <v>0</v>
      </c>
    </row>
    <row r="320" spans="1:7" x14ac:dyDescent="0.15">
      <c r="A320">
        <v>108801013</v>
      </c>
      <c r="B320">
        <v>2</v>
      </c>
      <c r="C320">
        <v>35</v>
      </c>
      <c r="D320">
        <v>45</v>
      </c>
      <c r="E320" t="s">
        <v>143</v>
      </c>
      <c r="F320" t="s">
        <v>569</v>
      </c>
      <c r="G320">
        <v>0</v>
      </c>
    </row>
    <row r="321" spans="1:7" x14ac:dyDescent="0.15">
      <c r="A321">
        <v>108801014</v>
      </c>
      <c r="B321">
        <v>2</v>
      </c>
      <c r="C321">
        <v>35</v>
      </c>
      <c r="D321">
        <v>45</v>
      </c>
      <c r="E321" t="s">
        <v>144</v>
      </c>
      <c r="F321" t="s">
        <v>569</v>
      </c>
      <c r="G321">
        <v>0</v>
      </c>
    </row>
    <row r="322" spans="1:7" x14ac:dyDescent="0.15">
      <c r="A322">
        <v>108801015</v>
      </c>
      <c r="B322">
        <v>3</v>
      </c>
      <c r="C322">
        <v>55</v>
      </c>
      <c r="D322">
        <v>65</v>
      </c>
      <c r="E322" t="s">
        <v>574</v>
      </c>
      <c r="F322" t="s">
        <v>575</v>
      </c>
      <c r="G322">
        <v>0</v>
      </c>
    </row>
    <row r="323" spans="1:7" x14ac:dyDescent="0.15">
      <c r="A323">
        <v>108801016</v>
      </c>
      <c r="B323">
        <v>3</v>
      </c>
      <c r="C323">
        <v>55</v>
      </c>
      <c r="D323">
        <v>65</v>
      </c>
      <c r="E323" t="s">
        <v>605</v>
      </c>
      <c r="F323" t="s">
        <v>606</v>
      </c>
      <c r="G323">
        <v>0</v>
      </c>
    </row>
    <row r="324" spans="1:7" x14ac:dyDescent="0.15">
      <c r="A324">
        <v>108801017</v>
      </c>
      <c r="B324">
        <v>3</v>
      </c>
      <c r="C324">
        <v>55</v>
      </c>
      <c r="D324">
        <v>65</v>
      </c>
      <c r="E324" t="s">
        <v>605</v>
      </c>
      <c r="F324" t="s">
        <v>607</v>
      </c>
      <c r="G324">
        <v>0</v>
      </c>
    </row>
    <row r="325" spans="1:7" x14ac:dyDescent="0.15">
      <c r="A325">
        <v>108801018</v>
      </c>
      <c r="B325">
        <v>3</v>
      </c>
      <c r="C325">
        <v>55</v>
      </c>
      <c r="D325">
        <v>65</v>
      </c>
      <c r="E325" t="s">
        <v>133</v>
      </c>
      <c r="F325" t="s">
        <v>568</v>
      </c>
      <c r="G325">
        <v>0</v>
      </c>
    </row>
    <row r="326" spans="1:7" x14ac:dyDescent="0.15">
      <c r="A326">
        <v>108801019</v>
      </c>
      <c r="B326">
        <v>3</v>
      </c>
      <c r="C326">
        <v>55</v>
      </c>
      <c r="D326">
        <v>65</v>
      </c>
      <c r="E326" t="s">
        <v>131</v>
      </c>
      <c r="F326" t="s">
        <v>567</v>
      </c>
      <c r="G326">
        <v>0</v>
      </c>
    </row>
    <row r="327" spans="1:7" x14ac:dyDescent="0.15">
      <c r="A327">
        <v>108801020</v>
      </c>
      <c r="B327">
        <v>3</v>
      </c>
      <c r="C327">
        <v>55</v>
      </c>
      <c r="D327">
        <v>65</v>
      </c>
      <c r="E327" t="s">
        <v>132</v>
      </c>
      <c r="F327" t="s">
        <v>567</v>
      </c>
      <c r="G327">
        <v>0</v>
      </c>
    </row>
    <row r="328" spans="1:7" x14ac:dyDescent="0.15">
      <c r="A328">
        <v>108801021</v>
      </c>
      <c r="B328">
        <v>4</v>
      </c>
      <c r="C328">
        <v>85</v>
      </c>
      <c r="D328">
        <v>95</v>
      </c>
      <c r="E328" t="s">
        <v>608</v>
      </c>
      <c r="F328" t="s">
        <v>564</v>
      </c>
      <c r="G328">
        <v>0</v>
      </c>
    </row>
    <row r="329" spans="1:7" x14ac:dyDescent="0.15">
      <c r="A329">
        <v>108801022</v>
      </c>
      <c r="B329">
        <v>4</v>
      </c>
      <c r="C329">
        <v>85</v>
      </c>
      <c r="D329">
        <v>95</v>
      </c>
      <c r="E329" t="s">
        <v>601</v>
      </c>
      <c r="F329" t="s">
        <v>564</v>
      </c>
      <c r="G329">
        <v>0</v>
      </c>
    </row>
    <row r="330" spans="1:7" x14ac:dyDescent="0.15">
      <c r="A330">
        <v>108801023</v>
      </c>
      <c r="B330">
        <v>4</v>
      </c>
      <c r="C330">
        <v>85</v>
      </c>
      <c r="D330">
        <v>95</v>
      </c>
      <c r="E330" t="s">
        <v>602</v>
      </c>
      <c r="F330" t="s">
        <v>564</v>
      </c>
      <c r="G330">
        <v>0</v>
      </c>
    </row>
    <row r="331" spans="1:7" x14ac:dyDescent="0.15">
      <c r="A331">
        <v>108801024</v>
      </c>
      <c r="B331">
        <v>4</v>
      </c>
      <c r="C331">
        <v>85</v>
      </c>
      <c r="D331">
        <v>95</v>
      </c>
      <c r="E331" t="s">
        <v>603</v>
      </c>
      <c r="F331" t="s">
        <v>564</v>
      </c>
      <c r="G331">
        <v>0</v>
      </c>
    </row>
    <row r="332" spans="1:7" x14ac:dyDescent="0.15">
      <c r="A332">
        <v>108801025</v>
      </c>
      <c r="B332">
        <v>4</v>
      </c>
      <c r="C332">
        <v>85</v>
      </c>
      <c r="D332">
        <v>95</v>
      </c>
      <c r="E332" t="s">
        <v>604</v>
      </c>
      <c r="F332" t="s">
        <v>564</v>
      </c>
      <c r="G332">
        <v>0</v>
      </c>
    </row>
    <row r="333" spans="1:7" x14ac:dyDescent="0.15">
      <c r="A333">
        <v>108801026</v>
      </c>
      <c r="B333">
        <v>5</v>
      </c>
      <c r="C333">
        <v>130</v>
      </c>
      <c r="D333">
        <v>130</v>
      </c>
      <c r="E333" t="s">
        <v>609</v>
      </c>
      <c r="F333" t="s">
        <v>610</v>
      </c>
      <c r="G333">
        <v>0</v>
      </c>
    </row>
    <row r="334" spans="1:7" x14ac:dyDescent="0.15">
      <c r="A334">
        <v>108801027</v>
      </c>
      <c r="B334">
        <v>5</v>
      </c>
      <c r="C334">
        <v>130</v>
      </c>
      <c r="D334">
        <v>130</v>
      </c>
      <c r="E334" t="s">
        <v>611</v>
      </c>
      <c r="F334" t="s">
        <v>610</v>
      </c>
      <c r="G334">
        <v>0</v>
      </c>
    </row>
    <row r="335" spans="1:7" x14ac:dyDescent="0.15">
      <c r="A335">
        <v>108801028</v>
      </c>
      <c r="B335">
        <v>5</v>
      </c>
      <c r="C335">
        <v>130</v>
      </c>
      <c r="D335">
        <v>130</v>
      </c>
      <c r="E335" t="s">
        <v>612</v>
      </c>
      <c r="F335" t="s">
        <v>610</v>
      </c>
      <c r="G335">
        <v>0</v>
      </c>
    </row>
    <row r="336" spans="1:7" x14ac:dyDescent="0.15">
      <c r="A336">
        <v>108801029</v>
      </c>
      <c r="B336">
        <v>5</v>
      </c>
      <c r="C336">
        <v>130</v>
      </c>
      <c r="D336">
        <v>130</v>
      </c>
      <c r="E336" t="s">
        <v>613</v>
      </c>
      <c r="F336" t="s">
        <v>610</v>
      </c>
      <c r="G336">
        <v>0</v>
      </c>
    </row>
    <row r="337" spans="1:7" x14ac:dyDescent="0.15">
      <c r="A337">
        <v>108801030</v>
      </c>
      <c r="B337">
        <v>5</v>
      </c>
      <c r="C337">
        <v>130</v>
      </c>
      <c r="D337">
        <v>130</v>
      </c>
      <c r="E337" t="s">
        <v>614</v>
      </c>
      <c r="F337" t="s">
        <v>610</v>
      </c>
      <c r="G337">
        <v>0</v>
      </c>
    </row>
    <row r="338" spans="1:7" x14ac:dyDescent="0.15">
      <c r="A338">
        <v>108801050</v>
      </c>
      <c r="B338">
        <v>3</v>
      </c>
      <c r="C338">
        <v>55</v>
      </c>
      <c r="D338">
        <v>65</v>
      </c>
      <c r="E338" t="s">
        <v>574</v>
      </c>
      <c r="F338" t="s">
        <v>575</v>
      </c>
      <c r="G338">
        <v>0</v>
      </c>
    </row>
    <row r="339" spans="1:7" x14ac:dyDescent="0.15">
      <c r="A339">
        <v>108801052</v>
      </c>
      <c r="B339">
        <v>3</v>
      </c>
      <c r="C339">
        <v>55</v>
      </c>
      <c r="D339">
        <v>65</v>
      </c>
      <c r="E339" t="s">
        <v>574</v>
      </c>
      <c r="F339" t="s">
        <v>575</v>
      </c>
      <c r="G339">
        <v>0</v>
      </c>
    </row>
    <row r="340" spans="1:7" x14ac:dyDescent="0.15">
      <c r="A340">
        <v>108801051</v>
      </c>
      <c r="B340">
        <v>4</v>
      </c>
      <c r="C340">
        <v>85</v>
      </c>
      <c r="D340">
        <v>95</v>
      </c>
      <c r="E340" t="s">
        <v>608</v>
      </c>
      <c r="F340" t="s">
        <v>564</v>
      </c>
      <c r="G340">
        <v>0</v>
      </c>
    </row>
    <row r="341" spans="1:7" x14ac:dyDescent="0.15">
      <c r="A341">
        <v>109900001</v>
      </c>
      <c r="B341">
        <v>2</v>
      </c>
      <c r="C341">
        <v>35</v>
      </c>
      <c r="D341">
        <v>45</v>
      </c>
      <c r="E341" t="s">
        <v>35</v>
      </c>
      <c r="G341">
        <v>0</v>
      </c>
    </row>
    <row r="342" spans="1:7" x14ac:dyDescent="0.15">
      <c r="A342">
        <v>109900002</v>
      </c>
      <c r="B342">
        <v>2</v>
      </c>
      <c r="C342">
        <v>35</v>
      </c>
      <c r="D342">
        <v>45</v>
      </c>
      <c r="E342" t="s">
        <v>36</v>
      </c>
      <c r="G342">
        <v>0</v>
      </c>
    </row>
    <row r="343" spans="1:7" x14ac:dyDescent="0.15">
      <c r="A343">
        <v>109900003</v>
      </c>
      <c r="B343">
        <v>2</v>
      </c>
      <c r="C343">
        <v>35</v>
      </c>
      <c r="D343">
        <v>45</v>
      </c>
      <c r="E343" t="s">
        <v>37</v>
      </c>
      <c r="G343">
        <v>0</v>
      </c>
    </row>
    <row r="344" spans="1:7" x14ac:dyDescent="0.15">
      <c r="A344">
        <v>109900004</v>
      </c>
      <c r="B344">
        <v>2</v>
      </c>
      <c r="C344">
        <v>35</v>
      </c>
      <c r="D344">
        <v>45</v>
      </c>
      <c r="E344" t="s">
        <v>38</v>
      </c>
      <c r="G344">
        <v>0</v>
      </c>
    </row>
    <row r="345" spans="1:7" x14ac:dyDescent="0.15">
      <c r="A345">
        <v>109900005</v>
      </c>
      <c r="B345">
        <v>2</v>
      </c>
      <c r="C345">
        <v>35</v>
      </c>
      <c r="D345">
        <v>45</v>
      </c>
      <c r="E345" t="s">
        <v>39</v>
      </c>
      <c r="G345">
        <v>0</v>
      </c>
    </row>
    <row r="346" spans="1:7" x14ac:dyDescent="0.15">
      <c r="A346">
        <v>109900006</v>
      </c>
      <c r="B346">
        <v>2</v>
      </c>
      <c r="C346">
        <v>35</v>
      </c>
      <c r="D346">
        <v>45</v>
      </c>
      <c r="E346" t="s">
        <v>40</v>
      </c>
      <c r="G346">
        <v>0</v>
      </c>
    </row>
    <row r="347" spans="1:7" x14ac:dyDescent="0.15">
      <c r="A347">
        <v>109900007</v>
      </c>
      <c r="B347">
        <v>2</v>
      </c>
      <c r="C347">
        <v>35</v>
      </c>
      <c r="D347">
        <v>45</v>
      </c>
      <c r="E347" t="s">
        <v>41</v>
      </c>
      <c r="G347">
        <v>0</v>
      </c>
    </row>
    <row r="348" spans="1:7" x14ac:dyDescent="0.15">
      <c r="A348">
        <v>109900008</v>
      </c>
      <c r="B348">
        <v>2</v>
      </c>
      <c r="C348">
        <v>35</v>
      </c>
      <c r="D348">
        <v>45</v>
      </c>
      <c r="E348" t="s">
        <v>42</v>
      </c>
      <c r="G348">
        <v>0</v>
      </c>
    </row>
    <row r="349" spans="1:7" x14ac:dyDescent="0.15">
      <c r="A349">
        <v>109900009</v>
      </c>
      <c r="B349">
        <v>2</v>
      </c>
      <c r="C349">
        <v>35</v>
      </c>
      <c r="D349">
        <v>45</v>
      </c>
      <c r="E349" t="s">
        <v>43</v>
      </c>
      <c r="G349">
        <v>0</v>
      </c>
    </row>
    <row r="350" spans="1:7" x14ac:dyDescent="0.15">
      <c r="A350">
        <v>109900010</v>
      </c>
      <c r="B350">
        <v>2</v>
      </c>
      <c r="C350">
        <v>35</v>
      </c>
      <c r="D350">
        <v>45</v>
      </c>
      <c r="E350" t="s">
        <v>44</v>
      </c>
      <c r="G350">
        <v>0</v>
      </c>
    </row>
    <row r="351" spans="1:7" x14ac:dyDescent="0.15">
      <c r="A351">
        <v>109900011</v>
      </c>
      <c r="B351">
        <v>2</v>
      </c>
      <c r="C351">
        <v>35</v>
      </c>
      <c r="D351">
        <v>45</v>
      </c>
      <c r="E351" t="s">
        <v>45</v>
      </c>
      <c r="G351">
        <v>0</v>
      </c>
    </row>
    <row r="352" spans="1:7" x14ac:dyDescent="0.15">
      <c r="A352">
        <v>109900012</v>
      </c>
      <c r="B352">
        <v>2</v>
      </c>
      <c r="C352">
        <v>35</v>
      </c>
      <c r="D352">
        <v>45</v>
      </c>
      <c r="E352" t="s">
        <v>46</v>
      </c>
      <c r="G352">
        <v>0</v>
      </c>
    </row>
    <row r="353" spans="1:7" x14ac:dyDescent="0.15">
      <c r="A353">
        <v>109900013</v>
      </c>
      <c r="B353">
        <v>2</v>
      </c>
      <c r="C353">
        <v>35</v>
      </c>
      <c r="D353">
        <v>45</v>
      </c>
      <c r="E353" t="s">
        <v>47</v>
      </c>
      <c r="G353">
        <v>0</v>
      </c>
    </row>
    <row r="354" spans="1:7" x14ac:dyDescent="0.15">
      <c r="A354">
        <v>109900014</v>
      </c>
      <c r="B354">
        <v>2</v>
      </c>
      <c r="C354">
        <v>35</v>
      </c>
      <c r="D354">
        <v>45</v>
      </c>
      <c r="E354" t="s">
        <v>48</v>
      </c>
      <c r="G354">
        <v>0</v>
      </c>
    </row>
    <row r="355" spans="1:7" x14ac:dyDescent="0.15">
      <c r="A355">
        <v>109900015</v>
      </c>
      <c r="B355">
        <v>2</v>
      </c>
      <c r="C355">
        <v>35</v>
      </c>
      <c r="D355">
        <v>45</v>
      </c>
      <c r="E355" t="s">
        <v>49</v>
      </c>
      <c r="G355">
        <v>0</v>
      </c>
    </row>
    <row r="356" spans="1:7" x14ac:dyDescent="0.15">
      <c r="A356">
        <v>109900016</v>
      </c>
      <c r="B356">
        <v>2</v>
      </c>
      <c r="C356">
        <v>35</v>
      </c>
      <c r="D356">
        <v>45</v>
      </c>
      <c r="E356" t="s">
        <v>50</v>
      </c>
      <c r="G356">
        <v>0</v>
      </c>
    </row>
    <row r="357" spans="1:7" x14ac:dyDescent="0.15">
      <c r="A357">
        <v>109900017</v>
      </c>
      <c r="B357">
        <v>2</v>
      </c>
      <c r="C357">
        <v>35</v>
      </c>
      <c r="D357">
        <v>45</v>
      </c>
      <c r="E357" t="s">
        <v>51</v>
      </c>
      <c r="G357">
        <v>0</v>
      </c>
    </row>
    <row r="358" spans="1:7" x14ac:dyDescent="0.15">
      <c r="A358">
        <v>109900018</v>
      </c>
      <c r="B358">
        <v>2</v>
      </c>
      <c r="C358">
        <v>35</v>
      </c>
      <c r="D358">
        <v>45</v>
      </c>
      <c r="E358" t="s">
        <v>52</v>
      </c>
      <c r="G358">
        <v>0</v>
      </c>
    </row>
    <row r="359" spans="1:7" x14ac:dyDescent="0.15">
      <c r="A359">
        <v>109900019</v>
      </c>
      <c r="B359">
        <v>2</v>
      </c>
      <c r="C359">
        <v>35</v>
      </c>
      <c r="D359">
        <v>45</v>
      </c>
      <c r="E359" t="s">
        <v>53</v>
      </c>
      <c r="G359">
        <v>0</v>
      </c>
    </row>
    <row r="360" spans="1:7" x14ac:dyDescent="0.15">
      <c r="A360">
        <v>109900020</v>
      </c>
      <c r="B360">
        <v>2</v>
      </c>
      <c r="C360">
        <v>35</v>
      </c>
      <c r="D360">
        <v>45</v>
      </c>
      <c r="E360" t="s">
        <v>54</v>
      </c>
      <c r="G360">
        <v>0</v>
      </c>
    </row>
    <row r="361" spans="1:7" x14ac:dyDescent="0.15">
      <c r="A361">
        <v>109900021</v>
      </c>
      <c r="B361">
        <v>2</v>
      </c>
      <c r="C361">
        <v>35</v>
      </c>
      <c r="D361">
        <v>45</v>
      </c>
      <c r="E361" t="s">
        <v>55</v>
      </c>
      <c r="G361">
        <v>0</v>
      </c>
    </row>
    <row r="362" spans="1:7" x14ac:dyDescent="0.15">
      <c r="A362">
        <v>109900022</v>
      </c>
      <c r="B362">
        <v>2</v>
      </c>
      <c r="C362">
        <v>35</v>
      </c>
      <c r="D362">
        <v>45</v>
      </c>
      <c r="E362" t="s">
        <v>56</v>
      </c>
      <c r="G362">
        <v>0</v>
      </c>
    </row>
    <row r="363" spans="1:7" x14ac:dyDescent="0.15">
      <c r="A363">
        <v>109900023</v>
      </c>
      <c r="B363">
        <v>2</v>
      </c>
      <c r="C363">
        <v>35</v>
      </c>
      <c r="D363">
        <v>45</v>
      </c>
      <c r="E363" t="s">
        <v>57</v>
      </c>
      <c r="G363">
        <v>0</v>
      </c>
    </row>
    <row r="364" spans="1:7" x14ac:dyDescent="0.15">
      <c r="A364">
        <v>109900024</v>
      </c>
      <c r="B364">
        <v>2</v>
      </c>
      <c r="C364">
        <v>35</v>
      </c>
      <c r="D364">
        <v>45</v>
      </c>
      <c r="E364" t="s">
        <v>58</v>
      </c>
      <c r="G364">
        <v>0</v>
      </c>
    </row>
    <row r="365" spans="1:7" x14ac:dyDescent="0.15">
      <c r="A365">
        <v>109900025</v>
      </c>
      <c r="B365">
        <v>2</v>
      </c>
      <c r="C365">
        <v>35</v>
      </c>
      <c r="D365">
        <v>45</v>
      </c>
      <c r="E365" t="s">
        <v>59</v>
      </c>
      <c r="G365">
        <v>0</v>
      </c>
    </row>
    <row r="366" spans="1:7" x14ac:dyDescent="0.15">
      <c r="A366">
        <v>109900026</v>
      </c>
      <c r="B366">
        <v>2</v>
      </c>
      <c r="C366">
        <v>35</v>
      </c>
      <c r="D366">
        <v>45</v>
      </c>
      <c r="E366" t="s">
        <v>60</v>
      </c>
      <c r="G366">
        <v>0</v>
      </c>
    </row>
    <row r="367" spans="1:7" x14ac:dyDescent="0.15">
      <c r="A367">
        <v>109900027</v>
      </c>
      <c r="B367">
        <v>2</v>
      </c>
      <c r="C367">
        <v>35</v>
      </c>
      <c r="D367">
        <v>45</v>
      </c>
      <c r="E367" t="s">
        <v>61</v>
      </c>
      <c r="G367">
        <v>0</v>
      </c>
    </row>
    <row r="368" spans="1:7" x14ac:dyDescent="0.15">
      <c r="A368">
        <v>109900028</v>
      </c>
      <c r="B368">
        <v>2</v>
      </c>
      <c r="C368">
        <v>35</v>
      </c>
      <c r="D368">
        <v>45</v>
      </c>
      <c r="E368" t="s">
        <v>62</v>
      </c>
      <c r="G368">
        <v>0</v>
      </c>
    </row>
    <row r="369" spans="1:7" x14ac:dyDescent="0.15">
      <c r="A369">
        <v>109900029</v>
      </c>
      <c r="B369">
        <v>2</v>
      </c>
      <c r="C369">
        <v>35</v>
      </c>
      <c r="D369">
        <v>45</v>
      </c>
      <c r="E369" t="s">
        <v>63</v>
      </c>
      <c r="G369">
        <v>0</v>
      </c>
    </row>
    <row r="370" spans="1:7" x14ac:dyDescent="0.15">
      <c r="A370">
        <v>109900030</v>
      </c>
      <c r="B370">
        <v>2</v>
      </c>
      <c r="C370">
        <v>35</v>
      </c>
      <c r="D370">
        <v>45</v>
      </c>
      <c r="E370" t="s">
        <v>64</v>
      </c>
      <c r="G370">
        <v>0</v>
      </c>
    </row>
    <row r="371" spans="1:7" x14ac:dyDescent="0.15">
      <c r="A371">
        <v>109900031</v>
      </c>
      <c r="B371">
        <v>2</v>
      </c>
      <c r="C371">
        <v>35</v>
      </c>
      <c r="D371">
        <v>45</v>
      </c>
      <c r="E371" t="s">
        <v>65</v>
      </c>
      <c r="G371">
        <v>0</v>
      </c>
    </row>
    <row r="372" spans="1:7" x14ac:dyDescent="0.15">
      <c r="A372">
        <v>109900032</v>
      </c>
      <c r="B372">
        <v>2</v>
      </c>
      <c r="C372">
        <v>35</v>
      </c>
      <c r="D372">
        <v>45</v>
      </c>
      <c r="E372" t="s">
        <v>66</v>
      </c>
      <c r="G372">
        <v>0</v>
      </c>
    </row>
    <row r="373" spans="1:7" x14ac:dyDescent="0.15">
      <c r="A373">
        <v>109900033</v>
      </c>
      <c r="B373">
        <v>2</v>
      </c>
      <c r="C373">
        <v>35</v>
      </c>
      <c r="D373">
        <v>45</v>
      </c>
      <c r="E373" t="s">
        <v>67</v>
      </c>
      <c r="G373">
        <v>0</v>
      </c>
    </row>
    <row r="374" spans="1:7" x14ac:dyDescent="0.15">
      <c r="A374">
        <v>109900034</v>
      </c>
      <c r="B374">
        <v>2</v>
      </c>
      <c r="C374">
        <v>35</v>
      </c>
      <c r="D374">
        <v>45</v>
      </c>
      <c r="E374" t="s">
        <v>68</v>
      </c>
      <c r="G374">
        <v>0</v>
      </c>
    </row>
    <row r="375" spans="1:7" x14ac:dyDescent="0.15">
      <c r="A375">
        <v>109900035</v>
      </c>
      <c r="B375">
        <v>2</v>
      </c>
      <c r="C375">
        <v>35</v>
      </c>
      <c r="D375">
        <v>45</v>
      </c>
      <c r="E375" t="s">
        <v>69</v>
      </c>
      <c r="G375">
        <v>0</v>
      </c>
    </row>
    <row r="376" spans="1:7" x14ac:dyDescent="0.15">
      <c r="A376">
        <v>109900036</v>
      </c>
      <c r="B376">
        <v>2</v>
      </c>
      <c r="C376">
        <v>35</v>
      </c>
      <c r="D376">
        <v>45</v>
      </c>
      <c r="E376" t="s">
        <v>70</v>
      </c>
      <c r="G376">
        <v>0</v>
      </c>
    </row>
    <row r="377" spans="1:7" x14ac:dyDescent="0.15">
      <c r="A377">
        <v>109900037</v>
      </c>
      <c r="B377">
        <v>2</v>
      </c>
      <c r="C377">
        <v>35</v>
      </c>
      <c r="D377">
        <v>45</v>
      </c>
      <c r="E377" t="s">
        <v>71</v>
      </c>
      <c r="G377">
        <v>0</v>
      </c>
    </row>
    <row r="378" spans="1:7" x14ac:dyDescent="0.15">
      <c r="A378">
        <v>109900038</v>
      </c>
      <c r="B378">
        <v>2</v>
      </c>
      <c r="C378">
        <v>35</v>
      </c>
      <c r="D378">
        <v>45</v>
      </c>
      <c r="E378" t="s">
        <v>72</v>
      </c>
      <c r="G378">
        <v>0</v>
      </c>
    </row>
    <row r="379" spans="1:7" x14ac:dyDescent="0.15">
      <c r="A379">
        <v>109900039</v>
      </c>
      <c r="B379">
        <v>2</v>
      </c>
      <c r="C379">
        <v>35</v>
      </c>
      <c r="D379">
        <v>45</v>
      </c>
      <c r="E379" t="s">
        <v>73</v>
      </c>
      <c r="G379">
        <v>0</v>
      </c>
    </row>
    <row r="380" spans="1:7" x14ac:dyDescent="0.15">
      <c r="A380">
        <v>109900040</v>
      </c>
      <c r="B380">
        <v>2</v>
      </c>
      <c r="C380">
        <v>35</v>
      </c>
      <c r="D380">
        <v>45</v>
      </c>
      <c r="E380" t="s">
        <v>74</v>
      </c>
      <c r="G380">
        <v>0</v>
      </c>
    </row>
    <row r="381" spans="1:7" x14ac:dyDescent="0.15">
      <c r="A381">
        <v>109900041</v>
      </c>
      <c r="B381">
        <v>2</v>
      </c>
      <c r="C381">
        <v>35</v>
      </c>
      <c r="D381">
        <v>45</v>
      </c>
      <c r="E381" t="s">
        <v>75</v>
      </c>
      <c r="G381">
        <v>0</v>
      </c>
    </row>
    <row r="382" spans="1:7" x14ac:dyDescent="0.15">
      <c r="A382">
        <v>109900042</v>
      </c>
      <c r="B382">
        <v>2</v>
      </c>
      <c r="C382">
        <v>35</v>
      </c>
      <c r="D382">
        <v>45</v>
      </c>
      <c r="E382" t="s">
        <v>76</v>
      </c>
      <c r="G382">
        <v>0</v>
      </c>
    </row>
    <row r="383" spans="1:7" x14ac:dyDescent="0.15">
      <c r="A383">
        <v>109900043</v>
      </c>
      <c r="B383">
        <v>2</v>
      </c>
      <c r="C383">
        <v>35</v>
      </c>
      <c r="D383">
        <v>45</v>
      </c>
      <c r="E383" t="s">
        <v>77</v>
      </c>
      <c r="G383">
        <v>0</v>
      </c>
    </row>
    <row r="384" spans="1:7" x14ac:dyDescent="0.15">
      <c r="A384">
        <v>109900044</v>
      </c>
      <c r="B384">
        <v>2</v>
      </c>
      <c r="C384">
        <v>35</v>
      </c>
      <c r="D384">
        <v>45</v>
      </c>
      <c r="E384" t="s">
        <v>78</v>
      </c>
      <c r="G384">
        <v>0</v>
      </c>
    </row>
    <row r="385" spans="1:7" x14ac:dyDescent="0.15">
      <c r="A385">
        <v>109900045</v>
      </c>
      <c r="B385">
        <v>2</v>
      </c>
      <c r="C385">
        <v>35</v>
      </c>
      <c r="D385">
        <v>45</v>
      </c>
      <c r="E385" t="s">
        <v>79</v>
      </c>
      <c r="G385">
        <v>0</v>
      </c>
    </row>
    <row r="386" spans="1:7" x14ac:dyDescent="0.15">
      <c r="A386">
        <v>109900046</v>
      </c>
      <c r="B386">
        <v>2</v>
      </c>
      <c r="C386">
        <v>35</v>
      </c>
      <c r="D386">
        <v>45</v>
      </c>
      <c r="E386" t="s">
        <v>80</v>
      </c>
      <c r="G386">
        <v>0</v>
      </c>
    </row>
    <row r="387" spans="1:7" x14ac:dyDescent="0.15">
      <c r="A387">
        <v>109900047</v>
      </c>
      <c r="B387">
        <v>2</v>
      </c>
      <c r="C387">
        <v>35</v>
      </c>
      <c r="D387">
        <v>45</v>
      </c>
      <c r="E387" t="s">
        <v>81</v>
      </c>
      <c r="G387">
        <v>0</v>
      </c>
    </row>
    <row r="388" spans="1:7" x14ac:dyDescent="0.15">
      <c r="A388">
        <v>109900048</v>
      </c>
      <c r="B388">
        <v>2</v>
      </c>
      <c r="C388">
        <v>35</v>
      </c>
      <c r="D388">
        <v>45</v>
      </c>
      <c r="E388" t="s">
        <v>82</v>
      </c>
      <c r="G388">
        <v>0</v>
      </c>
    </row>
    <row r="389" spans="1:7" x14ac:dyDescent="0.15">
      <c r="A389">
        <v>109900049</v>
      </c>
      <c r="B389">
        <v>2</v>
      </c>
      <c r="C389">
        <v>35</v>
      </c>
      <c r="D389">
        <v>45</v>
      </c>
      <c r="E389" t="s">
        <v>83</v>
      </c>
      <c r="G389">
        <v>0</v>
      </c>
    </row>
    <row r="390" spans="1:7" x14ac:dyDescent="0.15">
      <c r="A390">
        <v>109900050</v>
      </c>
      <c r="B390">
        <v>2</v>
      </c>
      <c r="C390">
        <v>35</v>
      </c>
      <c r="D390">
        <v>45</v>
      </c>
      <c r="E390" t="s">
        <v>84</v>
      </c>
      <c r="G390">
        <v>0</v>
      </c>
    </row>
    <row r="391" spans="1:7" x14ac:dyDescent="0.15">
      <c r="A391">
        <v>109900051</v>
      </c>
      <c r="B391">
        <v>2</v>
      </c>
      <c r="C391">
        <v>35</v>
      </c>
      <c r="D391">
        <v>45</v>
      </c>
      <c r="E391" t="s">
        <v>85</v>
      </c>
      <c r="G391">
        <v>0</v>
      </c>
    </row>
    <row r="392" spans="1:7" x14ac:dyDescent="0.15">
      <c r="A392">
        <v>109900052</v>
      </c>
      <c r="B392">
        <v>2</v>
      </c>
      <c r="C392">
        <v>35</v>
      </c>
      <c r="D392">
        <v>45</v>
      </c>
      <c r="E392" t="s">
        <v>86</v>
      </c>
      <c r="G392">
        <v>0</v>
      </c>
    </row>
    <row r="393" spans="1:7" x14ac:dyDescent="0.15">
      <c r="A393">
        <v>109900053</v>
      </c>
      <c r="B393">
        <v>2</v>
      </c>
      <c r="C393">
        <v>35</v>
      </c>
      <c r="D393">
        <v>45</v>
      </c>
      <c r="E393" t="s">
        <v>87</v>
      </c>
      <c r="G393">
        <v>0</v>
      </c>
    </row>
    <row r="394" spans="1:7" x14ac:dyDescent="0.15">
      <c r="A394">
        <v>109900054</v>
      </c>
      <c r="B394">
        <v>2</v>
      </c>
      <c r="C394">
        <v>35</v>
      </c>
      <c r="D394">
        <v>45</v>
      </c>
      <c r="E394" t="s">
        <v>88</v>
      </c>
      <c r="G394">
        <v>0</v>
      </c>
    </row>
    <row r="395" spans="1:7" x14ac:dyDescent="0.15">
      <c r="A395">
        <v>109900055</v>
      </c>
      <c r="B395">
        <v>2</v>
      </c>
      <c r="C395">
        <v>35</v>
      </c>
      <c r="D395">
        <v>45</v>
      </c>
      <c r="E395" t="s">
        <v>89</v>
      </c>
      <c r="G395">
        <v>0</v>
      </c>
    </row>
    <row r="396" spans="1:7" x14ac:dyDescent="0.15">
      <c r="A396">
        <v>109900056</v>
      </c>
      <c r="B396">
        <v>2</v>
      </c>
      <c r="C396">
        <v>35</v>
      </c>
      <c r="D396">
        <v>45</v>
      </c>
      <c r="E396" t="s">
        <v>90</v>
      </c>
      <c r="G396">
        <v>0</v>
      </c>
    </row>
    <row r="397" spans="1:7" x14ac:dyDescent="0.15">
      <c r="A397">
        <v>109900057</v>
      </c>
      <c r="B397">
        <v>2</v>
      </c>
      <c r="C397">
        <v>35</v>
      </c>
      <c r="D397">
        <v>45</v>
      </c>
      <c r="E397" t="s">
        <v>91</v>
      </c>
      <c r="G397">
        <v>0</v>
      </c>
    </row>
    <row r="398" spans="1:7" x14ac:dyDescent="0.15">
      <c r="A398">
        <v>109900058</v>
      </c>
      <c r="B398">
        <v>2</v>
      </c>
      <c r="C398">
        <v>35</v>
      </c>
      <c r="D398">
        <v>45</v>
      </c>
      <c r="E398" t="s">
        <v>92</v>
      </c>
      <c r="G398">
        <v>0</v>
      </c>
    </row>
    <row r="399" spans="1:7" x14ac:dyDescent="0.15">
      <c r="A399">
        <v>109900059</v>
      </c>
      <c r="B399">
        <v>2</v>
      </c>
      <c r="C399">
        <v>35</v>
      </c>
      <c r="D399">
        <v>45</v>
      </c>
      <c r="E399" t="s">
        <v>93</v>
      </c>
      <c r="G399">
        <v>0</v>
      </c>
    </row>
    <row r="400" spans="1:7" x14ac:dyDescent="0.15">
      <c r="A400">
        <v>109900060</v>
      </c>
      <c r="B400">
        <v>2</v>
      </c>
      <c r="C400">
        <v>35</v>
      </c>
      <c r="D400">
        <v>45</v>
      </c>
      <c r="E400" t="s">
        <v>94</v>
      </c>
      <c r="G400">
        <v>0</v>
      </c>
    </row>
    <row r="401" spans="1:7" x14ac:dyDescent="0.15">
      <c r="A401">
        <v>109900061</v>
      </c>
      <c r="B401">
        <v>2</v>
      </c>
      <c r="C401">
        <v>35</v>
      </c>
      <c r="D401">
        <v>45</v>
      </c>
      <c r="E401" t="s">
        <v>95</v>
      </c>
      <c r="G401">
        <v>0</v>
      </c>
    </row>
    <row r="402" spans="1:7" x14ac:dyDescent="0.15">
      <c r="A402">
        <v>109900062</v>
      </c>
      <c r="B402">
        <v>2</v>
      </c>
      <c r="C402">
        <v>35</v>
      </c>
      <c r="D402">
        <v>45</v>
      </c>
      <c r="E402" t="s">
        <v>96</v>
      </c>
      <c r="G402">
        <v>0</v>
      </c>
    </row>
    <row r="403" spans="1:7" x14ac:dyDescent="0.15">
      <c r="A403">
        <v>109900063</v>
      </c>
      <c r="B403">
        <v>2</v>
      </c>
      <c r="C403">
        <v>35</v>
      </c>
      <c r="D403">
        <v>45</v>
      </c>
      <c r="E403" t="s">
        <v>97</v>
      </c>
      <c r="G403">
        <v>0</v>
      </c>
    </row>
    <row r="404" spans="1:7" x14ac:dyDescent="0.15">
      <c r="A404">
        <v>109900064</v>
      </c>
      <c r="B404">
        <v>2</v>
      </c>
      <c r="C404">
        <v>35</v>
      </c>
      <c r="D404">
        <v>45</v>
      </c>
      <c r="E404" t="s">
        <v>98</v>
      </c>
      <c r="G404">
        <v>0</v>
      </c>
    </row>
    <row r="405" spans="1:7" x14ac:dyDescent="0.15">
      <c r="A405">
        <v>109900065</v>
      </c>
      <c r="B405">
        <v>2</v>
      </c>
      <c r="C405">
        <v>35</v>
      </c>
      <c r="D405">
        <v>45</v>
      </c>
      <c r="E405" t="s">
        <v>99</v>
      </c>
      <c r="G405">
        <v>0</v>
      </c>
    </row>
    <row r="406" spans="1:7" x14ac:dyDescent="0.15">
      <c r="A406">
        <v>109900066</v>
      </c>
      <c r="B406">
        <v>2</v>
      </c>
      <c r="C406">
        <v>35</v>
      </c>
      <c r="D406">
        <v>45</v>
      </c>
      <c r="E406" t="s">
        <v>100</v>
      </c>
      <c r="G406">
        <v>0</v>
      </c>
    </row>
    <row r="407" spans="1:7" x14ac:dyDescent="0.15">
      <c r="A407">
        <v>109900067</v>
      </c>
      <c r="B407">
        <v>2</v>
      </c>
      <c r="C407">
        <v>35</v>
      </c>
      <c r="D407">
        <v>45</v>
      </c>
      <c r="E407" t="s">
        <v>101</v>
      </c>
      <c r="G407">
        <v>0</v>
      </c>
    </row>
    <row r="408" spans="1:7" x14ac:dyDescent="0.15">
      <c r="A408">
        <v>109900068</v>
      </c>
      <c r="B408">
        <v>2</v>
      </c>
      <c r="C408">
        <v>35</v>
      </c>
      <c r="D408">
        <v>45</v>
      </c>
      <c r="E408" t="s">
        <v>102</v>
      </c>
      <c r="G408">
        <v>0</v>
      </c>
    </row>
    <row r="409" spans="1:7" x14ac:dyDescent="0.15">
      <c r="A409">
        <v>109900069</v>
      </c>
      <c r="B409">
        <v>2</v>
      </c>
      <c r="C409">
        <v>35</v>
      </c>
      <c r="D409">
        <v>45</v>
      </c>
      <c r="E409" t="s">
        <v>103</v>
      </c>
      <c r="G409">
        <v>0</v>
      </c>
    </row>
    <row r="410" spans="1:7" x14ac:dyDescent="0.15">
      <c r="A410">
        <v>109900070</v>
      </c>
      <c r="B410">
        <v>2</v>
      </c>
      <c r="C410">
        <v>35</v>
      </c>
      <c r="D410">
        <v>45</v>
      </c>
      <c r="E410" t="s">
        <v>104</v>
      </c>
      <c r="G410">
        <v>0</v>
      </c>
    </row>
    <row r="411" spans="1:7" x14ac:dyDescent="0.15">
      <c r="A411">
        <v>109900071</v>
      </c>
      <c r="B411">
        <v>2</v>
      </c>
      <c r="C411">
        <v>35</v>
      </c>
      <c r="D411">
        <v>45</v>
      </c>
      <c r="E411" t="s">
        <v>105</v>
      </c>
      <c r="G411">
        <v>0</v>
      </c>
    </row>
    <row r="412" spans="1:7" x14ac:dyDescent="0.15">
      <c r="A412">
        <v>109900072</v>
      </c>
      <c r="B412">
        <v>2</v>
      </c>
      <c r="C412">
        <v>35</v>
      </c>
      <c r="D412">
        <v>45</v>
      </c>
      <c r="E412" t="s">
        <v>106</v>
      </c>
      <c r="G412">
        <v>0</v>
      </c>
    </row>
    <row r="413" spans="1:7" x14ac:dyDescent="0.15">
      <c r="A413">
        <v>109900073</v>
      </c>
      <c r="B413">
        <v>2</v>
      </c>
      <c r="C413">
        <v>35</v>
      </c>
      <c r="D413">
        <v>45</v>
      </c>
      <c r="E413" t="s">
        <v>107</v>
      </c>
      <c r="G413">
        <v>0</v>
      </c>
    </row>
    <row r="414" spans="1:7" x14ac:dyDescent="0.15">
      <c r="A414">
        <v>109900074</v>
      </c>
      <c r="B414">
        <v>2</v>
      </c>
      <c r="C414">
        <v>35</v>
      </c>
      <c r="D414">
        <v>45</v>
      </c>
      <c r="E414" t="s">
        <v>108</v>
      </c>
      <c r="G414">
        <v>0</v>
      </c>
    </row>
    <row r="415" spans="1:7" x14ac:dyDescent="0.15">
      <c r="A415">
        <v>109900075</v>
      </c>
      <c r="B415">
        <v>2</v>
      </c>
      <c r="C415">
        <v>35</v>
      </c>
      <c r="D415">
        <v>45</v>
      </c>
      <c r="E415" t="s">
        <v>109</v>
      </c>
      <c r="G415">
        <v>0</v>
      </c>
    </row>
    <row r="416" spans="1:7" x14ac:dyDescent="0.15">
      <c r="A416">
        <v>109900076</v>
      </c>
      <c r="B416">
        <v>2</v>
      </c>
      <c r="C416">
        <v>35</v>
      </c>
      <c r="D416">
        <v>45</v>
      </c>
      <c r="E416" t="s">
        <v>110</v>
      </c>
      <c r="G416">
        <v>0</v>
      </c>
    </row>
    <row r="417" spans="1:7" x14ac:dyDescent="0.15">
      <c r="A417">
        <v>109900077</v>
      </c>
      <c r="B417">
        <v>2</v>
      </c>
      <c r="C417">
        <v>35</v>
      </c>
      <c r="D417">
        <v>45</v>
      </c>
      <c r="E417" t="s">
        <v>111</v>
      </c>
      <c r="G417">
        <v>0</v>
      </c>
    </row>
    <row r="418" spans="1:7" x14ac:dyDescent="0.15">
      <c r="A418">
        <v>109900078</v>
      </c>
      <c r="B418">
        <v>2</v>
      </c>
      <c r="C418">
        <v>35</v>
      </c>
      <c r="D418">
        <v>45</v>
      </c>
      <c r="E418" t="s">
        <v>112</v>
      </c>
      <c r="G418">
        <v>0</v>
      </c>
    </row>
    <row r="419" spans="1:7" x14ac:dyDescent="0.15">
      <c r="A419">
        <v>109900079</v>
      </c>
      <c r="B419">
        <v>2</v>
      </c>
      <c r="C419">
        <v>35</v>
      </c>
      <c r="D419">
        <v>45</v>
      </c>
      <c r="E419" t="s">
        <v>113</v>
      </c>
      <c r="G419">
        <v>0</v>
      </c>
    </row>
    <row r="420" spans="1:7" x14ac:dyDescent="0.15">
      <c r="A420">
        <v>109900080</v>
      </c>
      <c r="B420">
        <v>2</v>
      </c>
      <c r="C420">
        <v>35</v>
      </c>
      <c r="D420">
        <v>45</v>
      </c>
      <c r="E420" t="s">
        <v>114</v>
      </c>
      <c r="G420">
        <v>0</v>
      </c>
    </row>
    <row r="421" spans="1:7" x14ac:dyDescent="0.15">
      <c r="A421">
        <v>109900081</v>
      </c>
      <c r="B421">
        <v>2</v>
      </c>
      <c r="C421">
        <v>35</v>
      </c>
      <c r="D421">
        <v>45</v>
      </c>
      <c r="E421" t="s">
        <v>115</v>
      </c>
      <c r="G421">
        <v>0</v>
      </c>
    </row>
    <row r="422" spans="1:7" x14ac:dyDescent="0.15">
      <c r="A422">
        <v>109900082</v>
      </c>
      <c r="B422">
        <v>2</v>
      </c>
      <c r="C422">
        <v>35</v>
      </c>
      <c r="D422">
        <v>45</v>
      </c>
      <c r="E422" t="s">
        <v>70</v>
      </c>
      <c r="G422">
        <v>0</v>
      </c>
    </row>
    <row r="423" spans="1:7" x14ac:dyDescent="0.15">
      <c r="A423">
        <v>109900083</v>
      </c>
      <c r="B423">
        <v>2</v>
      </c>
      <c r="C423">
        <v>35</v>
      </c>
      <c r="D423">
        <v>45</v>
      </c>
      <c r="E423" t="s">
        <v>71</v>
      </c>
      <c r="G423">
        <v>0</v>
      </c>
    </row>
    <row r="424" spans="1:7" x14ac:dyDescent="0.15">
      <c r="A424">
        <v>109900084</v>
      </c>
      <c r="B424">
        <v>2</v>
      </c>
      <c r="C424">
        <v>35</v>
      </c>
      <c r="D424">
        <v>45</v>
      </c>
      <c r="E424" t="s">
        <v>72</v>
      </c>
      <c r="G424">
        <v>0</v>
      </c>
    </row>
    <row r="425" spans="1:7" x14ac:dyDescent="0.15">
      <c r="A425">
        <v>109900085</v>
      </c>
      <c r="B425">
        <v>2</v>
      </c>
      <c r="C425">
        <v>35</v>
      </c>
      <c r="D425">
        <v>45</v>
      </c>
      <c r="E425" t="s">
        <v>73</v>
      </c>
      <c r="G425">
        <v>0</v>
      </c>
    </row>
    <row r="426" spans="1:7" x14ac:dyDescent="0.15">
      <c r="A426">
        <v>109900086</v>
      </c>
      <c r="B426">
        <v>2</v>
      </c>
      <c r="C426">
        <v>35</v>
      </c>
      <c r="D426">
        <v>45</v>
      </c>
      <c r="E426" t="s">
        <v>74</v>
      </c>
      <c r="G426">
        <v>0</v>
      </c>
    </row>
    <row r="427" spans="1:7" x14ac:dyDescent="0.15">
      <c r="A427">
        <v>109900087</v>
      </c>
      <c r="B427">
        <v>2</v>
      </c>
      <c r="C427">
        <v>35</v>
      </c>
      <c r="D427">
        <v>45</v>
      </c>
      <c r="E427" t="s">
        <v>75</v>
      </c>
      <c r="G427">
        <v>0</v>
      </c>
    </row>
    <row r="428" spans="1:7" x14ac:dyDescent="0.15">
      <c r="A428">
        <v>109900088</v>
      </c>
      <c r="B428">
        <v>2</v>
      </c>
      <c r="C428">
        <v>35</v>
      </c>
      <c r="D428">
        <v>45</v>
      </c>
      <c r="E428" t="s">
        <v>76</v>
      </c>
      <c r="G428">
        <v>0</v>
      </c>
    </row>
    <row r="429" spans="1:7" x14ac:dyDescent="0.15">
      <c r="A429">
        <v>109900089</v>
      </c>
      <c r="B429">
        <v>2</v>
      </c>
      <c r="C429">
        <v>35</v>
      </c>
      <c r="D429">
        <v>45</v>
      </c>
      <c r="E429" t="s">
        <v>77</v>
      </c>
      <c r="G429">
        <v>0</v>
      </c>
    </row>
    <row r="430" spans="1:7" x14ac:dyDescent="0.15">
      <c r="A430">
        <v>109900090</v>
      </c>
      <c r="B430">
        <v>2</v>
      </c>
      <c r="C430">
        <v>35</v>
      </c>
      <c r="D430">
        <v>45</v>
      </c>
      <c r="E430" t="s">
        <v>78</v>
      </c>
      <c r="G430">
        <v>0</v>
      </c>
    </row>
    <row r="431" spans="1:7" x14ac:dyDescent="0.15">
      <c r="A431">
        <v>109900091</v>
      </c>
      <c r="B431">
        <v>2</v>
      </c>
      <c r="C431">
        <v>35</v>
      </c>
      <c r="D431">
        <v>45</v>
      </c>
      <c r="E431" t="s">
        <v>79</v>
      </c>
      <c r="G431">
        <v>0</v>
      </c>
    </row>
    <row r="432" spans="1:7" x14ac:dyDescent="0.15">
      <c r="A432">
        <v>109900092</v>
      </c>
      <c r="B432">
        <v>2</v>
      </c>
      <c r="C432">
        <v>35</v>
      </c>
      <c r="D432">
        <v>45</v>
      </c>
      <c r="E432" t="s">
        <v>80</v>
      </c>
      <c r="G432">
        <v>0</v>
      </c>
    </row>
    <row r="433" spans="1:7" x14ac:dyDescent="0.15">
      <c r="A433">
        <v>109900093</v>
      </c>
      <c r="B433">
        <v>2</v>
      </c>
      <c r="C433">
        <v>35</v>
      </c>
      <c r="D433">
        <v>45</v>
      </c>
      <c r="E433" t="s">
        <v>81</v>
      </c>
      <c r="G433">
        <v>0</v>
      </c>
    </row>
    <row r="434" spans="1:7" x14ac:dyDescent="0.15">
      <c r="A434">
        <v>109900094</v>
      </c>
      <c r="B434">
        <v>2</v>
      </c>
      <c r="C434">
        <v>35</v>
      </c>
      <c r="D434">
        <v>45</v>
      </c>
      <c r="E434" t="s">
        <v>109</v>
      </c>
      <c r="G434">
        <v>0</v>
      </c>
    </row>
    <row r="435" spans="1:7" x14ac:dyDescent="0.15">
      <c r="A435">
        <v>109900095</v>
      </c>
      <c r="B435">
        <v>2</v>
      </c>
      <c r="C435">
        <v>35</v>
      </c>
      <c r="D435">
        <v>45</v>
      </c>
      <c r="E435" t="s">
        <v>89</v>
      </c>
      <c r="G435">
        <v>0</v>
      </c>
    </row>
    <row r="436" spans="1:7" x14ac:dyDescent="0.15">
      <c r="A436">
        <v>109900096</v>
      </c>
      <c r="B436">
        <v>2</v>
      </c>
      <c r="C436">
        <v>35</v>
      </c>
      <c r="D436">
        <v>45</v>
      </c>
      <c r="E436" t="s">
        <v>90</v>
      </c>
      <c r="G436">
        <v>0</v>
      </c>
    </row>
    <row r="437" spans="1:7" x14ac:dyDescent="0.15">
      <c r="A437">
        <v>109901001</v>
      </c>
      <c r="B437">
        <v>2</v>
      </c>
      <c r="C437">
        <v>35</v>
      </c>
      <c r="D437">
        <v>45</v>
      </c>
      <c r="E437" t="s">
        <v>615</v>
      </c>
      <c r="G437">
        <v>0</v>
      </c>
    </row>
    <row r="438" spans="1:7" x14ac:dyDescent="0.15">
      <c r="A438">
        <v>109901002</v>
      </c>
      <c r="B438">
        <v>2</v>
      </c>
      <c r="C438">
        <v>35</v>
      </c>
      <c r="D438">
        <v>45</v>
      </c>
      <c r="E438" t="s">
        <v>616</v>
      </c>
      <c r="G438">
        <v>0</v>
      </c>
    </row>
    <row r="439" spans="1:7" x14ac:dyDescent="0.15">
      <c r="A439">
        <v>109901003</v>
      </c>
      <c r="B439">
        <v>2</v>
      </c>
      <c r="C439">
        <v>35</v>
      </c>
      <c r="D439">
        <v>45</v>
      </c>
      <c r="E439" t="s">
        <v>617</v>
      </c>
      <c r="G439">
        <v>0</v>
      </c>
    </row>
    <row r="440" spans="1:7" x14ac:dyDescent="0.15">
      <c r="A440">
        <v>109901004</v>
      </c>
      <c r="B440">
        <v>2</v>
      </c>
      <c r="C440">
        <v>35</v>
      </c>
      <c r="D440">
        <v>45</v>
      </c>
      <c r="E440" t="s">
        <v>618</v>
      </c>
      <c r="G440">
        <v>0</v>
      </c>
    </row>
    <row r="441" spans="1:7" x14ac:dyDescent="0.15">
      <c r="A441">
        <v>109901005</v>
      </c>
      <c r="B441">
        <v>2</v>
      </c>
      <c r="C441">
        <v>35</v>
      </c>
      <c r="D441">
        <v>45</v>
      </c>
      <c r="E441" t="s">
        <v>619</v>
      </c>
      <c r="G441">
        <v>0</v>
      </c>
    </row>
    <row r="442" spans="1:7" x14ac:dyDescent="0.15">
      <c r="A442">
        <v>109901006</v>
      </c>
      <c r="B442">
        <v>2</v>
      </c>
      <c r="C442">
        <v>35</v>
      </c>
      <c r="D442">
        <v>45</v>
      </c>
      <c r="E442" t="s">
        <v>620</v>
      </c>
      <c r="G442">
        <v>0</v>
      </c>
    </row>
    <row r="443" spans="1:7" x14ac:dyDescent="0.15">
      <c r="A443">
        <v>109901011</v>
      </c>
      <c r="B443">
        <v>2</v>
      </c>
      <c r="C443">
        <v>35</v>
      </c>
      <c r="D443">
        <v>45</v>
      </c>
      <c r="E443" t="s">
        <v>621</v>
      </c>
      <c r="G443">
        <v>0</v>
      </c>
    </row>
    <row r="444" spans="1:7" x14ac:dyDescent="0.15">
      <c r="A444">
        <v>109901012</v>
      </c>
      <c r="B444">
        <v>2</v>
      </c>
      <c r="C444">
        <v>35</v>
      </c>
      <c r="D444">
        <v>45</v>
      </c>
      <c r="E444" t="s">
        <v>622</v>
      </c>
      <c r="G444">
        <v>0</v>
      </c>
    </row>
    <row r="445" spans="1:7" x14ac:dyDescent="0.15">
      <c r="A445">
        <v>109901013</v>
      </c>
      <c r="B445">
        <v>2</v>
      </c>
      <c r="C445">
        <v>35</v>
      </c>
      <c r="D445">
        <v>45</v>
      </c>
      <c r="E445" t="s">
        <v>623</v>
      </c>
      <c r="G445">
        <v>0</v>
      </c>
    </row>
    <row r="446" spans="1:7" x14ac:dyDescent="0.15">
      <c r="A446">
        <v>109901014</v>
      </c>
      <c r="B446">
        <v>2</v>
      </c>
      <c r="C446">
        <v>35</v>
      </c>
      <c r="D446">
        <v>45</v>
      </c>
      <c r="E446" t="s">
        <v>624</v>
      </c>
      <c r="G446">
        <v>0</v>
      </c>
    </row>
    <row r="447" spans="1:7" x14ac:dyDescent="0.15">
      <c r="A447">
        <v>109901015</v>
      </c>
      <c r="B447">
        <v>2</v>
      </c>
      <c r="C447">
        <v>35</v>
      </c>
      <c r="D447">
        <v>45</v>
      </c>
      <c r="E447" t="s">
        <v>625</v>
      </c>
      <c r="G447">
        <v>0</v>
      </c>
    </row>
    <row r="448" spans="1:7" x14ac:dyDescent="0.15">
      <c r="A448">
        <v>109901016</v>
      </c>
      <c r="B448">
        <v>2</v>
      </c>
      <c r="C448">
        <v>35</v>
      </c>
      <c r="D448">
        <v>45</v>
      </c>
      <c r="E448" t="s">
        <v>626</v>
      </c>
      <c r="G448">
        <v>0</v>
      </c>
    </row>
    <row r="449" spans="1:7" x14ac:dyDescent="0.15">
      <c r="A449">
        <v>109901021</v>
      </c>
      <c r="B449">
        <v>2</v>
      </c>
      <c r="C449">
        <v>35</v>
      </c>
      <c r="D449">
        <v>45</v>
      </c>
      <c r="E449" t="s">
        <v>615</v>
      </c>
      <c r="G449">
        <v>0</v>
      </c>
    </row>
    <row r="450" spans="1:7" x14ac:dyDescent="0.15">
      <c r="A450">
        <v>109901022</v>
      </c>
      <c r="B450">
        <v>2</v>
      </c>
      <c r="C450">
        <v>35</v>
      </c>
      <c r="D450">
        <v>45</v>
      </c>
      <c r="E450" t="s">
        <v>616</v>
      </c>
      <c r="G450">
        <v>0</v>
      </c>
    </row>
    <row r="451" spans="1:7" x14ac:dyDescent="0.15">
      <c r="A451">
        <v>109901023</v>
      </c>
      <c r="B451">
        <v>2</v>
      </c>
      <c r="C451">
        <v>35</v>
      </c>
      <c r="D451">
        <v>45</v>
      </c>
      <c r="E451" t="s">
        <v>617</v>
      </c>
      <c r="G451">
        <v>0</v>
      </c>
    </row>
    <row r="452" spans="1:7" x14ac:dyDescent="0.15">
      <c r="A452">
        <v>109901024</v>
      </c>
      <c r="B452">
        <v>2</v>
      </c>
      <c r="C452">
        <v>35</v>
      </c>
      <c r="D452">
        <v>45</v>
      </c>
      <c r="E452" t="s">
        <v>618</v>
      </c>
      <c r="G452">
        <v>0</v>
      </c>
    </row>
    <row r="453" spans="1:7" x14ac:dyDescent="0.15">
      <c r="A453">
        <v>109901025</v>
      </c>
      <c r="B453">
        <v>2</v>
      </c>
      <c r="C453">
        <v>35</v>
      </c>
      <c r="D453">
        <v>45</v>
      </c>
      <c r="E453" t="s">
        <v>619</v>
      </c>
      <c r="G453">
        <v>0</v>
      </c>
    </row>
    <row r="454" spans="1:7" x14ac:dyDescent="0.15">
      <c r="A454">
        <v>109901026</v>
      </c>
      <c r="B454">
        <v>2</v>
      </c>
      <c r="C454">
        <v>35</v>
      </c>
      <c r="D454">
        <v>45</v>
      </c>
      <c r="E454" t="s">
        <v>620</v>
      </c>
      <c r="G454">
        <v>0</v>
      </c>
    </row>
    <row r="455" spans="1:7" x14ac:dyDescent="0.15">
      <c r="A455">
        <v>109901031</v>
      </c>
      <c r="B455">
        <v>2</v>
      </c>
      <c r="C455">
        <v>35</v>
      </c>
      <c r="D455">
        <v>45</v>
      </c>
      <c r="E455" t="s">
        <v>615</v>
      </c>
      <c r="G455">
        <v>0</v>
      </c>
    </row>
    <row r="456" spans="1:7" x14ac:dyDescent="0.15">
      <c r="A456">
        <v>109901032</v>
      </c>
      <c r="B456">
        <v>2</v>
      </c>
      <c r="C456">
        <v>35</v>
      </c>
      <c r="D456">
        <v>45</v>
      </c>
      <c r="E456" t="s">
        <v>616</v>
      </c>
      <c r="G456">
        <v>0</v>
      </c>
    </row>
    <row r="457" spans="1:7" x14ac:dyDescent="0.15">
      <c r="A457">
        <v>109901033</v>
      </c>
      <c r="B457">
        <v>2</v>
      </c>
      <c r="C457">
        <v>35</v>
      </c>
      <c r="D457">
        <v>45</v>
      </c>
      <c r="E457" t="s">
        <v>617</v>
      </c>
      <c r="G457">
        <v>0</v>
      </c>
    </row>
    <row r="458" spans="1:7" x14ac:dyDescent="0.15">
      <c r="A458">
        <v>109901034</v>
      </c>
      <c r="B458">
        <v>2</v>
      </c>
      <c r="C458">
        <v>35</v>
      </c>
      <c r="D458">
        <v>45</v>
      </c>
      <c r="E458" t="s">
        <v>618</v>
      </c>
      <c r="G458">
        <v>0</v>
      </c>
    </row>
    <row r="459" spans="1:7" x14ac:dyDescent="0.15">
      <c r="A459">
        <v>109901035</v>
      </c>
      <c r="B459">
        <v>2</v>
      </c>
      <c r="C459">
        <v>35</v>
      </c>
      <c r="D459">
        <v>45</v>
      </c>
      <c r="E459" t="s">
        <v>619</v>
      </c>
      <c r="G459">
        <v>0</v>
      </c>
    </row>
    <row r="460" spans="1:7" x14ac:dyDescent="0.15">
      <c r="A460">
        <v>109901036</v>
      </c>
      <c r="B460">
        <v>2</v>
      </c>
      <c r="C460">
        <v>35</v>
      </c>
      <c r="D460">
        <v>45</v>
      </c>
      <c r="E460" t="s">
        <v>620</v>
      </c>
      <c r="G460">
        <v>0</v>
      </c>
    </row>
    <row r="461" spans="1:7" x14ac:dyDescent="0.15">
      <c r="A461">
        <v>109901041</v>
      </c>
      <c r="B461">
        <v>2</v>
      </c>
      <c r="C461">
        <v>35</v>
      </c>
      <c r="D461">
        <v>45</v>
      </c>
      <c r="E461" t="s">
        <v>621</v>
      </c>
      <c r="G461">
        <v>0</v>
      </c>
    </row>
    <row r="462" spans="1:7" x14ac:dyDescent="0.15">
      <c r="A462">
        <v>109901042</v>
      </c>
      <c r="B462">
        <v>2</v>
      </c>
      <c r="C462">
        <v>35</v>
      </c>
      <c r="D462">
        <v>45</v>
      </c>
      <c r="E462" t="s">
        <v>622</v>
      </c>
      <c r="G462">
        <v>0</v>
      </c>
    </row>
    <row r="463" spans="1:7" x14ac:dyDescent="0.15">
      <c r="A463">
        <v>109901043</v>
      </c>
      <c r="B463">
        <v>2</v>
      </c>
      <c r="C463">
        <v>35</v>
      </c>
      <c r="D463">
        <v>45</v>
      </c>
      <c r="E463" t="s">
        <v>623</v>
      </c>
      <c r="G463">
        <v>0</v>
      </c>
    </row>
    <row r="464" spans="1:7" x14ac:dyDescent="0.15">
      <c r="A464">
        <v>109901044</v>
      </c>
      <c r="B464">
        <v>2</v>
      </c>
      <c r="C464">
        <v>35</v>
      </c>
      <c r="D464">
        <v>45</v>
      </c>
      <c r="E464" t="s">
        <v>624</v>
      </c>
      <c r="G464">
        <v>0</v>
      </c>
    </row>
    <row r="465" spans="1:7" x14ac:dyDescent="0.15">
      <c r="A465">
        <v>109901045</v>
      </c>
      <c r="B465">
        <v>2</v>
      </c>
      <c r="C465">
        <v>35</v>
      </c>
      <c r="D465">
        <v>45</v>
      </c>
      <c r="E465" t="s">
        <v>625</v>
      </c>
      <c r="G465">
        <v>0</v>
      </c>
    </row>
    <row r="466" spans="1:7" x14ac:dyDescent="0.15">
      <c r="A466">
        <v>109901046</v>
      </c>
      <c r="B466">
        <v>2</v>
      </c>
      <c r="C466">
        <v>35</v>
      </c>
      <c r="D466">
        <v>45</v>
      </c>
      <c r="E466" t="s">
        <v>626</v>
      </c>
      <c r="G466">
        <v>0</v>
      </c>
    </row>
    <row r="467" spans="1:7" x14ac:dyDescent="0.15">
      <c r="A467">
        <v>109901051</v>
      </c>
      <c r="B467">
        <v>2</v>
      </c>
      <c r="C467">
        <v>35</v>
      </c>
      <c r="D467">
        <v>45</v>
      </c>
      <c r="E467" t="s">
        <v>615</v>
      </c>
      <c r="G467">
        <v>0</v>
      </c>
    </row>
    <row r="468" spans="1:7" x14ac:dyDescent="0.15">
      <c r="A468">
        <v>109901052</v>
      </c>
      <c r="B468">
        <v>2</v>
      </c>
      <c r="C468">
        <v>35</v>
      </c>
      <c r="D468">
        <v>45</v>
      </c>
      <c r="E468" t="s">
        <v>616</v>
      </c>
      <c r="G468">
        <v>0</v>
      </c>
    </row>
    <row r="469" spans="1:7" x14ac:dyDescent="0.15">
      <c r="A469">
        <v>109901053</v>
      </c>
      <c r="B469">
        <v>2</v>
      </c>
      <c r="C469">
        <v>35</v>
      </c>
      <c r="D469">
        <v>45</v>
      </c>
      <c r="E469" t="s">
        <v>617</v>
      </c>
      <c r="G469">
        <v>0</v>
      </c>
    </row>
    <row r="470" spans="1:7" x14ac:dyDescent="0.15">
      <c r="A470">
        <v>109901054</v>
      </c>
      <c r="B470">
        <v>2</v>
      </c>
      <c r="C470">
        <v>35</v>
      </c>
      <c r="D470">
        <v>45</v>
      </c>
      <c r="E470" t="s">
        <v>618</v>
      </c>
      <c r="G470">
        <v>0</v>
      </c>
    </row>
    <row r="471" spans="1:7" x14ac:dyDescent="0.15">
      <c r="A471">
        <v>109901055</v>
      </c>
      <c r="B471">
        <v>2</v>
      </c>
      <c r="C471">
        <v>35</v>
      </c>
      <c r="D471">
        <v>45</v>
      </c>
      <c r="E471" t="s">
        <v>619</v>
      </c>
      <c r="G471">
        <v>0</v>
      </c>
    </row>
    <row r="472" spans="1:7" x14ac:dyDescent="0.15">
      <c r="A472">
        <v>109901056</v>
      </c>
      <c r="B472">
        <v>2</v>
      </c>
      <c r="C472">
        <v>35</v>
      </c>
      <c r="D472">
        <v>45</v>
      </c>
      <c r="E472" t="s">
        <v>620</v>
      </c>
      <c r="G472">
        <v>0</v>
      </c>
    </row>
    <row r="473" spans="1:7" x14ac:dyDescent="0.15">
      <c r="A473">
        <v>109901061</v>
      </c>
      <c r="B473">
        <v>2</v>
      </c>
      <c r="C473">
        <v>35</v>
      </c>
      <c r="D473">
        <v>45</v>
      </c>
      <c r="E473" t="s">
        <v>615</v>
      </c>
      <c r="G473">
        <v>0</v>
      </c>
    </row>
    <row r="474" spans="1:7" x14ac:dyDescent="0.15">
      <c r="A474">
        <v>109901062</v>
      </c>
      <c r="B474">
        <v>2</v>
      </c>
      <c r="C474">
        <v>35</v>
      </c>
      <c r="D474">
        <v>45</v>
      </c>
      <c r="E474" t="s">
        <v>616</v>
      </c>
      <c r="G474">
        <v>0</v>
      </c>
    </row>
    <row r="475" spans="1:7" x14ac:dyDescent="0.15">
      <c r="A475">
        <v>109901063</v>
      </c>
      <c r="B475">
        <v>2</v>
      </c>
      <c r="C475">
        <v>35</v>
      </c>
      <c r="D475">
        <v>45</v>
      </c>
      <c r="E475" t="s">
        <v>617</v>
      </c>
      <c r="G475">
        <v>0</v>
      </c>
    </row>
    <row r="476" spans="1:7" x14ac:dyDescent="0.15">
      <c r="A476">
        <v>109901064</v>
      </c>
      <c r="B476">
        <v>2</v>
      </c>
      <c r="C476">
        <v>35</v>
      </c>
      <c r="D476">
        <v>45</v>
      </c>
      <c r="E476" t="s">
        <v>618</v>
      </c>
      <c r="G476">
        <v>0</v>
      </c>
    </row>
    <row r="477" spans="1:7" x14ac:dyDescent="0.15">
      <c r="A477">
        <v>109901065</v>
      </c>
      <c r="B477">
        <v>2</v>
      </c>
      <c r="C477">
        <v>35</v>
      </c>
      <c r="D477">
        <v>45</v>
      </c>
      <c r="E477" t="s">
        <v>619</v>
      </c>
      <c r="G477">
        <v>0</v>
      </c>
    </row>
    <row r="478" spans="1:7" x14ac:dyDescent="0.15">
      <c r="A478">
        <v>109901066</v>
      </c>
      <c r="B478">
        <v>2</v>
      </c>
      <c r="C478">
        <v>35</v>
      </c>
      <c r="D478">
        <v>45</v>
      </c>
      <c r="E478" t="s">
        <v>620</v>
      </c>
      <c r="G478">
        <v>0</v>
      </c>
    </row>
    <row r="479" spans="1:7" x14ac:dyDescent="0.15">
      <c r="A479">
        <v>109901071</v>
      </c>
      <c r="B479">
        <v>2</v>
      </c>
      <c r="C479">
        <v>35</v>
      </c>
      <c r="D479">
        <v>45</v>
      </c>
      <c r="E479" t="s">
        <v>615</v>
      </c>
      <c r="G479">
        <v>0</v>
      </c>
    </row>
    <row r="480" spans="1:7" x14ac:dyDescent="0.15">
      <c r="A480">
        <v>109901072</v>
      </c>
      <c r="B480">
        <v>2</v>
      </c>
      <c r="C480">
        <v>35</v>
      </c>
      <c r="D480">
        <v>45</v>
      </c>
      <c r="E480" t="s">
        <v>616</v>
      </c>
      <c r="G480">
        <v>0</v>
      </c>
    </row>
    <row r="481" spans="1:7" x14ac:dyDescent="0.15">
      <c r="A481">
        <v>109901073</v>
      </c>
      <c r="B481">
        <v>2</v>
      </c>
      <c r="C481">
        <v>35</v>
      </c>
      <c r="D481">
        <v>45</v>
      </c>
      <c r="E481" t="s">
        <v>617</v>
      </c>
      <c r="G481">
        <v>0</v>
      </c>
    </row>
    <row r="482" spans="1:7" x14ac:dyDescent="0.15">
      <c r="A482">
        <v>109901074</v>
      </c>
      <c r="B482">
        <v>2</v>
      </c>
      <c r="C482">
        <v>35</v>
      </c>
      <c r="D482">
        <v>45</v>
      </c>
      <c r="E482" t="s">
        <v>618</v>
      </c>
      <c r="G482">
        <v>0</v>
      </c>
    </row>
    <row r="483" spans="1:7" x14ac:dyDescent="0.15">
      <c r="A483">
        <v>109901075</v>
      </c>
      <c r="B483">
        <v>2</v>
      </c>
      <c r="C483">
        <v>35</v>
      </c>
      <c r="D483">
        <v>45</v>
      </c>
      <c r="E483" t="s">
        <v>619</v>
      </c>
      <c r="G483">
        <v>0</v>
      </c>
    </row>
    <row r="484" spans="1:7" x14ac:dyDescent="0.15">
      <c r="A484">
        <v>109901076</v>
      </c>
      <c r="B484">
        <v>2</v>
      </c>
      <c r="C484">
        <v>35</v>
      </c>
      <c r="D484">
        <v>45</v>
      </c>
      <c r="E484" t="s">
        <v>620</v>
      </c>
      <c r="G484">
        <v>0</v>
      </c>
    </row>
    <row r="485" spans="1:7" x14ac:dyDescent="0.15">
      <c r="A485">
        <v>109901081</v>
      </c>
      <c r="B485">
        <v>2</v>
      </c>
      <c r="C485">
        <v>35</v>
      </c>
      <c r="D485">
        <v>45</v>
      </c>
      <c r="E485" t="s">
        <v>615</v>
      </c>
      <c r="G485">
        <v>0</v>
      </c>
    </row>
    <row r="486" spans="1:7" x14ac:dyDescent="0.15">
      <c r="A486">
        <v>109901082</v>
      </c>
      <c r="B486">
        <v>2</v>
      </c>
      <c r="C486">
        <v>35</v>
      </c>
      <c r="D486">
        <v>45</v>
      </c>
      <c r="E486" t="s">
        <v>616</v>
      </c>
      <c r="G486">
        <v>0</v>
      </c>
    </row>
    <row r="487" spans="1:7" x14ac:dyDescent="0.15">
      <c r="A487">
        <v>109901083</v>
      </c>
      <c r="B487">
        <v>2</v>
      </c>
      <c r="C487">
        <v>35</v>
      </c>
      <c r="D487">
        <v>45</v>
      </c>
      <c r="E487" t="s">
        <v>617</v>
      </c>
      <c r="G487">
        <v>0</v>
      </c>
    </row>
    <row r="488" spans="1:7" x14ac:dyDescent="0.15">
      <c r="A488">
        <v>109901084</v>
      </c>
      <c r="B488">
        <v>2</v>
      </c>
      <c r="C488">
        <v>35</v>
      </c>
      <c r="D488">
        <v>45</v>
      </c>
      <c r="E488" t="s">
        <v>618</v>
      </c>
      <c r="G488">
        <v>0</v>
      </c>
    </row>
    <row r="489" spans="1:7" x14ac:dyDescent="0.15">
      <c r="A489">
        <v>109901085</v>
      </c>
      <c r="B489">
        <v>2</v>
      </c>
      <c r="C489">
        <v>35</v>
      </c>
      <c r="D489">
        <v>45</v>
      </c>
      <c r="E489" t="s">
        <v>619</v>
      </c>
      <c r="G489">
        <v>0</v>
      </c>
    </row>
    <row r="490" spans="1:7" x14ac:dyDescent="0.15">
      <c r="A490">
        <v>109901086</v>
      </c>
      <c r="B490">
        <v>2</v>
      </c>
      <c r="C490">
        <v>35</v>
      </c>
      <c r="D490">
        <v>45</v>
      </c>
      <c r="E490" t="s">
        <v>620</v>
      </c>
      <c r="G490">
        <v>0</v>
      </c>
    </row>
    <row r="491" spans="1:7" x14ac:dyDescent="0.15">
      <c r="A491">
        <v>109901091</v>
      </c>
      <c r="B491">
        <v>2</v>
      </c>
      <c r="C491">
        <v>35</v>
      </c>
      <c r="D491">
        <v>45</v>
      </c>
      <c r="E491" t="s">
        <v>615</v>
      </c>
      <c r="G491">
        <v>0</v>
      </c>
    </row>
    <row r="492" spans="1:7" x14ac:dyDescent="0.15">
      <c r="A492">
        <v>109901092</v>
      </c>
      <c r="B492">
        <v>2</v>
      </c>
      <c r="C492">
        <v>35</v>
      </c>
      <c r="D492">
        <v>45</v>
      </c>
      <c r="E492" t="s">
        <v>616</v>
      </c>
      <c r="G492">
        <v>0</v>
      </c>
    </row>
    <row r="493" spans="1:7" x14ac:dyDescent="0.15">
      <c r="A493">
        <v>109901093</v>
      </c>
      <c r="B493">
        <v>2</v>
      </c>
      <c r="C493">
        <v>35</v>
      </c>
      <c r="D493">
        <v>45</v>
      </c>
      <c r="E493" t="s">
        <v>617</v>
      </c>
      <c r="G493">
        <v>0</v>
      </c>
    </row>
    <row r="494" spans="1:7" x14ac:dyDescent="0.15">
      <c r="A494">
        <v>109901094</v>
      </c>
      <c r="B494">
        <v>2</v>
      </c>
      <c r="C494">
        <v>35</v>
      </c>
      <c r="D494">
        <v>45</v>
      </c>
      <c r="E494" t="s">
        <v>618</v>
      </c>
      <c r="G494">
        <v>0</v>
      </c>
    </row>
    <row r="495" spans="1:7" x14ac:dyDescent="0.15">
      <c r="A495">
        <v>109901095</v>
      </c>
      <c r="B495">
        <v>2</v>
      </c>
      <c r="C495">
        <v>35</v>
      </c>
      <c r="D495">
        <v>45</v>
      </c>
      <c r="E495" t="s">
        <v>619</v>
      </c>
      <c r="G495">
        <v>0</v>
      </c>
    </row>
    <row r="496" spans="1:7" x14ac:dyDescent="0.15">
      <c r="A496">
        <v>109901096</v>
      </c>
      <c r="B496">
        <v>2</v>
      </c>
      <c r="C496">
        <v>35</v>
      </c>
      <c r="D496">
        <v>45</v>
      </c>
      <c r="E496" t="s">
        <v>620</v>
      </c>
      <c r="G496">
        <v>0</v>
      </c>
    </row>
    <row r="497" spans="1:7" x14ac:dyDescent="0.15">
      <c r="A497">
        <v>109902001</v>
      </c>
      <c r="B497">
        <v>2</v>
      </c>
      <c r="C497">
        <v>35</v>
      </c>
      <c r="D497">
        <v>45</v>
      </c>
      <c r="E497" t="s">
        <v>627</v>
      </c>
      <c r="G497">
        <v>0</v>
      </c>
    </row>
    <row r="498" spans="1:7" x14ac:dyDescent="0.15">
      <c r="A498">
        <v>109902002</v>
      </c>
      <c r="B498">
        <v>2</v>
      </c>
      <c r="C498">
        <v>35</v>
      </c>
      <c r="D498">
        <v>45</v>
      </c>
      <c r="E498" t="s">
        <v>628</v>
      </c>
      <c r="G498">
        <v>0</v>
      </c>
    </row>
    <row r="499" spans="1:7" x14ac:dyDescent="0.15">
      <c r="A499">
        <v>109902003</v>
      </c>
      <c r="B499">
        <v>2</v>
      </c>
      <c r="C499">
        <v>35</v>
      </c>
      <c r="D499">
        <v>45</v>
      </c>
      <c r="E499" t="s">
        <v>629</v>
      </c>
      <c r="G499">
        <v>0</v>
      </c>
    </row>
    <row r="500" spans="1:7" x14ac:dyDescent="0.15">
      <c r="A500">
        <v>109902004</v>
      </c>
      <c r="B500">
        <v>2</v>
      </c>
      <c r="C500">
        <v>35</v>
      </c>
      <c r="D500">
        <v>45</v>
      </c>
      <c r="E500" t="s">
        <v>630</v>
      </c>
      <c r="G500">
        <v>0</v>
      </c>
    </row>
    <row r="501" spans="1:7" x14ac:dyDescent="0.15">
      <c r="A501">
        <v>109902005</v>
      </c>
      <c r="B501">
        <v>2</v>
      </c>
      <c r="C501">
        <v>35</v>
      </c>
      <c r="D501">
        <v>45</v>
      </c>
      <c r="E501" t="s">
        <v>631</v>
      </c>
      <c r="G501">
        <v>0</v>
      </c>
    </row>
    <row r="502" spans="1:7" x14ac:dyDescent="0.15">
      <c r="A502">
        <v>109902006</v>
      </c>
      <c r="B502">
        <v>2</v>
      </c>
      <c r="C502">
        <v>35</v>
      </c>
      <c r="D502">
        <v>45</v>
      </c>
      <c r="E502" t="s">
        <v>632</v>
      </c>
      <c r="G502">
        <v>0</v>
      </c>
    </row>
    <row r="503" spans="1:7" x14ac:dyDescent="0.15">
      <c r="A503">
        <v>109902011</v>
      </c>
      <c r="B503">
        <v>2</v>
      </c>
      <c r="C503">
        <v>35</v>
      </c>
      <c r="D503">
        <v>45</v>
      </c>
      <c r="E503" t="s">
        <v>633</v>
      </c>
      <c r="G503">
        <v>0</v>
      </c>
    </row>
    <row r="504" spans="1:7" x14ac:dyDescent="0.15">
      <c r="A504">
        <v>109902012</v>
      </c>
      <c r="B504">
        <v>2</v>
      </c>
      <c r="C504">
        <v>35</v>
      </c>
      <c r="D504">
        <v>45</v>
      </c>
      <c r="E504" t="s">
        <v>634</v>
      </c>
      <c r="G504">
        <v>0</v>
      </c>
    </row>
    <row r="505" spans="1:7" x14ac:dyDescent="0.15">
      <c r="A505">
        <v>109902013</v>
      </c>
      <c r="B505">
        <v>2</v>
      </c>
      <c r="C505">
        <v>35</v>
      </c>
      <c r="D505">
        <v>45</v>
      </c>
      <c r="E505" t="s">
        <v>635</v>
      </c>
      <c r="G505">
        <v>0</v>
      </c>
    </row>
    <row r="506" spans="1:7" x14ac:dyDescent="0.15">
      <c r="A506">
        <v>109902014</v>
      </c>
      <c r="B506">
        <v>2</v>
      </c>
      <c r="C506">
        <v>35</v>
      </c>
      <c r="D506">
        <v>45</v>
      </c>
      <c r="E506" t="s">
        <v>636</v>
      </c>
      <c r="G506">
        <v>0</v>
      </c>
    </row>
    <row r="507" spans="1:7" x14ac:dyDescent="0.15">
      <c r="A507">
        <v>109902015</v>
      </c>
      <c r="B507">
        <v>2</v>
      </c>
      <c r="C507">
        <v>35</v>
      </c>
      <c r="D507">
        <v>45</v>
      </c>
      <c r="E507" t="s">
        <v>637</v>
      </c>
      <c r="G507">
        <v>0</v>
      </c>
    </row>
    <row r="508" spans="1:7" x14ac:dyDescent="0.15">
      <c r="A508">
        <v>109902016</v>
      </c>
      <c r="B508">
        <v>2</v>
      </c>
      <c r="C508">
        <v>35</v>
      </c>
      <c r="D508">
        <v>45</v>
      </c>
      <c r="E508" t="s">
        <v>638</v>
      </c>
      <c r="G508">
        <v>0</v>
      </c>
    </row>
    <row r="509" spans="1:7" x14ac:dyDescent="0.15">
      <c r="A509">
        <v>109902021</v>
      </c>
      <c r="B509">
        <v>2</v>
      </c>
      <c r="C509">
        <v>35</v>
      </c>
      <c r="D509">
        <v>45</v>
      </c>
      <c r="E509" t="s">
        <v>627</v>
      </c>
      <c r="G509">
        <v>0</v>
      </c>
    </row>
    <row r="510" spans="1:7" x14ac:dyDescent="0.15">
      <c r="A510">
        <v>109902022</v>
      </c>
      <c r="B510">
        <v>2</v>
      </c>
      <c r="C510">
        <v>35</v>
      </c>
      <c r="D510">
        <v>45</v>
      </c>
      <c r="E510" t="s">
        <v>628</v>
      </c>
      <c r="G510">
        <v>0</v>
      </c>
    </row>
    <row r="511" spans="1:7" x14ac:dyDescent="0.15">
      <c r="A511">
        <v>109902023</v>
      </c>
      <c r="B511">
        <v>2</v>
      </c>
      <c r="C511">
        <v>35</v>
      </c>
      <c r="D511">
        <v>45</v>
      </c>
      <c r="E511" t="s">
        <v>629</v>
      </c>
      <c r="G511">
        <v>0</v>
      </c>
    </row>
    <row r="512" spans="1:7" x14ac:dyDescent="0.15">
      <c r="A512">
        <v>109902024</v>
      </c>
      <c r="B512">
        <v>2</v>
      </c>
      <c r="C512">
        <v>35</v>
      </c>
      <c r="D512">
        <v>45</v>
      </c>
      <c r="E512" t="s">
        <v>630</v>
      </c>
      <c r="G512">
        <v>0</v>
      </c>
    </row>
    <row r="513" spans="1:7" x14ac:dyDescent="0.15">
      <c r="A513">
        <v>109902025</v>
      </c>
      <c r="B513">
        <v>2</v>
      </c>
      <c r="C513">
        <v>35</v>
      </c>
      <c r="D513">
        <v>45</v>
      </c>
      <c r="E513" t="s">
        <v>631</v>
      </c>
      <c r="G513">
        <v>0</v>
      </c>
    </row>
    <row r="514" spans="1:7" x14ac:dyDescent="0.15">
      <c r="A514">
        <v>109902026</v>
      </c>
      <c r="B514">
        <v>2</v>
      </c>
      <c r="C514">
        <v>35</v>
      </c>
      <c r="D514">
        <v>45</v>
      </c>
      <c r="E514" t="s">
        <v>632</v>
      </c>
      <c r="G514">
        <v>0</v>
      </c>
    </row>
    <row r="515" spans="1:7" x14ac:dyDescent="0.15">
      <c r="A515">
        <v>109902031</v>
      </c>
      <c r="B515">
        <v>2</v>
      </c>
      <c r="C515">
        <v>35</v>
      </c>
      <c r="D515">
        <v>45</v>
      </c>
      <c r="E515" t="s">
        <v>627</v>
      </c>
      <c r="G515">
        <v>0</v>
      </c>
    </row>
    <row r="516" spans="1:7" x14ac:dyDescent="0.15">
      <c r="A516">
        <v>109902032</v>
      </c>
      <c r="B516">
        <v>2</v>
      </c>
      <c r="C516">
        <v>35</v>
      </c>
      <c r="D516">
        <v>45</v>
      </c>
      <c r="E516" t="s">
        <v>628</v>
      </c>
      <c r="G516">
        <v>0</v>
      </c>
    </row>
    <row r="517" spans="1:7" x14ac:dyDescent="0.15">
      <c r="A517">
        <v>109902033</v>
      </c>
      <c r="B517">
        <v>2</v>
      </c>
      <c r="C517">
        <v>35</v>
      </c>
      <c r="D517">
        <v>45</v>
      </c>
      <c r="E517" t="s">
        <v>629</v>
      </c>
      <c r="G517">
        <v>0</v>
      </c>
    </row>
    <row r="518" spans="1:7" x14ac:dyDescent="0.15">
      <c r="A518">
        <v>109902034</v>
      </c>
      <c r="B518">
        <v>2</v>
      </c>
      <c r="C518">
        <v>35</v>
      </c>
      <c r="D518">
        <v>45</v>
      </c>
      <c r="E518" t="s">
        <v>630</v>
      </c>
      <c r="G518">
        <v>0</v>
      </c>
    </row>
    <row r="519" spans="1:7" x14ac:dyDescent="0.15">
      <c r="A519">
        <v>109902035</v>
      </c>
      <c r="B519">
        <v>2</v>
      </c>
      <c r="C519">
        <v>35</v>
      </c>
      <c r="D519">
        <v>45</v>
      </c>
      <c r="E519" t="s">
        <v>631</v>
      </c>
      <c r="G519">
        <v>0</v>
      </c>
    </row>
    <row r="520" spans="1:7" x14ac:dyDescent="0.15">
      <c r="A520">
        <v>109902036</v>
      </c>
      <c r="B520">
        <v>2</v>
      </c>
      <c r="C520">
        <v>35</v>
      </c>
      <c r="D520">
        <v>45</v>
      </c>
      <c r="E520" t="s">
        <v>632</v>
      </c>
      <c r="G520">
        <v>0</v>
      </c>
    </row>
    <row r="521" spans="1:7" x14ac:dyDescent="0.15">
      <c r="A521">
        <v>109902041</v>
      </c>
      <c r="B521">
        <v>2</v>
      </c>
      <c r="C521">
        <v>35</v>
      </c>
      <c r="D521">
        <v>45</v>
      </c>
      <c r="E521" t="s">
        <v>633</v>
      </c>
      <c r="G521">
        <v>0</v>
      </c>
    </row>
    <row r="522" spans="1:7" x14ac:dyDescent="0.15">
      <c r="A522">
        <v>109902042</v>
      </c>
      <c r="B522">
        <v>2</v>
      </c>
      <c r="C522">
        <v>35</v>
      </c>
      <c r="D522">
        <v>45</v>
      </c>
      <c r="E522" t="s">
        <v>634</v>
      </c>
      <c r="G522">
        <v>0</v>
      </c>
    </row>
    <row r="523" spans="1:7" x14ac:dyDescent="0.15">
      <c r="A523">
        <v>109902043</v>
      </c>
      <c r="B523">
        <v>2</v>
      </c>
      <c r="C523">
        <v>35</v>
      </c>
      <c r="D523">
        <v>45</v>
      </c>
      <c r="E523" t="s">
        <v>635</v>
      </c>
      <c r="G523">
        <v>0</v>
      </c>
    </row>
    <row r="524" spans="1:7" x14ac:dyDescent="0.15">
      <c r="A524">
        <v>109902044</v>
      </c>
      <c r="B524">
        <v>2</v>
      </c>
      <c r="C524">
        <v>35</v>
      </c>
      <c r="D524">
        <v>45</v>
      </c>
      <c r="E524" t="s">
        <v>636</v>
      </c>
      <c r="G524">
        <v>0</v>
      </c>
    </row>
    <row r="525" spans="1:7" x14ac:dyDescent="0.15">
      <c r="A525">
        <v>109902045</v>
      </c>
      <c r="B525">
        <v>2</v>
      </c>
      <c r="C525">
        <v>35</v>
      </c>
      <c r="D525">
        <v>45</v>
      </c>
      <c r="E525" t="s">
        <v>637</v>
      </c>
      <c r="G525">
        <v>0</v>
      </c>
    </row>
    <row r="526" spans="1:7" x14ac:dyDescent="0.15">
      <c r="A526">
        <v>109902046</v>
      </c>
      <c r="B526">
        <v>2</v>
      </c>
      <c r="C526">
        <v>35</v>
      </c>
      <c r="D526">
        <v>45</v>
      </c>
      <c r="E526" t="s">
        <v>638</v>
      </c>
      <c r="G526">
        <v>0</v>
      </c>
    </row>
    <row r="527" spans="1:7" x14ac:dyDescent="0.15">
      <c r="A527">
        <v>109902051</v>
      </c>
      <c r="B527">
        <v>2</v>
      </c>
      <c r="C527">
        <v>35</v>
      </c>
      <c r="D527">
        <v>45</v>
      </c>
      <c r="E527" t="s">
        <v>627</v>
      </c>
      <c r="G527">
        <v>0</v>
      </c>
    </row>
    <row r="528" spans="1:7" x14ac:dyDescent="0.15">
      <c r="A528">
        <v>109902052</v>
      </c>
      <c r="B528">
        <v>2</v>
      </c>
      <c r="C528">
        <v>35</v>
      </c>
      <c r="D528">
        <v>45</v>
      </c>
      <c r="E528" t="s">
        <v>628</v>
      </c>
      <c r="G528">
        <v>0</v>
      </c>
    </row>
    <row r="529" spans="1:7" x14ac:dyDescent="0.15">
      <c r="A529">
        <v>109902053</v>
      </c>
      <c r="B529">
        <v>2</v>
      </c>
      <c r="C529">
        <v>35</v>
      </c>
      <c r="D529">
        <v>45</v>
      </c>
      <c r="E529" t="s">
        <v>629</v>
      </c>
      <c r="G529">
        <v>0</v>
      </c>
    </row>
    <row r="530" spans="1:7" x14ac:dyDescent="0.15">
      <c r="A530">
        <v>109902054</v>
      </c>
      <c r="B530">
        <v>2</v>
      </c>
      <c r="C530">
        <v>35</v>
      </c>
      <c r="D530">
        <v>45</v>
      </c>
      <c r="E530" t="s">
        <v>630</v>
      </c>
      <c r="G530">
        <v>0</v>
      </c>
    </row>
    <row r="531" spans="1:7" x14ac:dyDescent="0.15">
      <c r="A531">
        <v>109902055</v>
      </c>
      <c r="B531">
        <v>2</v>
      </c>
      <c r="C531">
        <v>35</v>
      </c>
      <c r="D531">
        <v>45</v>
      </c>
      <c r="E531" t="s">
        <v>631</v>
      </c>
      <c r="G531">
        <v>0</v>
      </c>
    </row>
    <row r="532" spans="1:7" x14ac:dyDescent="0.15">
      <c r="A532">
        <v>109902056</v>
      </c>
      <c r="B532">
        <v>2</v>
      </c>
      <c r="C532">
        <v>35</v>
      </c>
      <c r="D532">
        <v>45</v>
      </c>
      <c r="E532" t="s">
        <v>632</v>
      </c>
      <c r="G532">
        <v>0</v>
      </c>
    </row>
    <row r="533" spans="1:7" x14ac:dyDescent="0.15">
      <c r="A533">
        <v>109902061</v>
      </c>
      <c r="B533">
        <v>2</v>
      </c>
      <c r="C533">
        <v>35</v>
      </c>
      <c r="D533">
        <v>45</v>
      </c>
      <c r="E533" t="s">
        <v>615</v>
      </c>
      <c r="G533">
        <v>0</v>
      </c>
    </row>
    <row r="534" spans="1:7" x14ac:dyDescent="0.15">
      <c r="A534">
        <v>109902062</v>
      </c>
      <c r="B534">
        <v>2</v>
      </c>
      <c r="C534">
        <v>35</v>
      </c>
      <c r="D534">
        <v>45</v>
      </c>
      <c r="E534" t="s">
        <v>616</v>
      </c>
      <c r="G534">
        <v>0</v>
      </c>
    </row>
    <row r="535" spans="1:7" x14ac:dyDescent="0.15">
      <c r="A535">
        <v>109902063</v>
      </c>
      <c r="B535">
        <v>2</v>
      </c>
      <c r="C535">
        <v>35</v>
      </c>
      <c r="D535">
        <v>45</v>
      </c>
      <c r="E535" t="s">
        <v>617</v>
      </c>
      <c r="G535">
        <v>0</v>
      </c>
    </row>
    <row r="536" spans="1:7" x14ac:dyDescent="0.15">
      <c r="A536">
        <v>109902064</v>
      </c>
      <c r="B536">
        <v>2</v>
      </c>
      <c r="C536">
        <v>35</v>
      </c>
      <c r="D536">
        <v>45</v>
      </c>
      <c r="E536" t="s">
        <v>618</v>
      </c>
      <c r="G536">
        <v>0</v>
      </c>
    </row>
    <row r="537" spans="1:7" x14ac:dyDescent="0.15">
      <c r="A537">
        <v>109902065</v>
      </c>
      <c r="B537">
        <v>2</v>
      </c>
      <c r="C537">
        <v>35</v>
      </c>
      <c r="D537">
        <v>45</v>
      </c>
      <c r="E537" t="s">
        <v>619</v>
      </c>
      <c r="G537">
        <v>0</v>
      </c>
    </row>
    <row r="538" spans="1:7" x14ac:dyDescent="0.15">
      <c r="A538">
        <v>109902066</v>
      </c>
      <c r="B538">
        <v>2</v>
      </c>
      <c r="C538">
        <v>35</v>
      </c>
      <c r="D538">
        <v>45</v>
      </c>
      <c r="E538" t="s">
        <v>620</v>
      </c>
      <c r="G538">
        <v>0</v>
      </c>
    </row>
    <row r="539" spans="1:7" x14ac:dyDescent="0.15">
      <c r="A539">
        <v>109902071</v>
      </c>
      <c r="B539">
        <v>2</v>
      </c>
      <c r="C539">
        <v>35</v>
      </c>
      <c r="D539">
        <v>45</v>
      </c>
      <c r="E539" t="s">
        <v>615</v>
      </c>
      <c r="G539">
        <v>0</v>
      </c>
    </row>
    <row r="540" spans="1:7" x14ac:dyDescent="0.15">
      <c r="A540">
        <v>109902072</v>
      </c>
      <c r="B540">
        <v>2</v>
      </c>
      <c r="C540">
        <v>35</v>
      </c>
      <c r="D540">
        <v>45</v>
      </c>
      <c r="E540" t="s">
        <v>616</v>
      </c>
      <c r="G540">
        <v>0</v>
      </c>
    </row>
    <row r="541" spans="1:7" x14ac:dyDescent="0.15">
      <c r="A541">
        <v>109902073</v>
      </c>
      <c r="B541">
        <v>2</v>
      </c>
      <c r="C541">
        <v>35</v>
      </c>
      <c r="D541">
        <v>45</v>
      </c>
      <c r="E541" t="s">
        <v>617</v>
      </c>
      <c r="G541">
        <v>0</v>
      </c>
    </row>
    <row r="542" spans="1:7" x14ac:dyDescent="0.15">
      <c r="A542">
        <v>109902074</v>
      </c>
      <c r="B542">
        <v>2</v>
      </c>
      <c r="C542">
        <v>35</v>
      </c>
      <c r="D542">
        <v>45</v>
      </c>
      <c r="E542" t="s">
        <v>618</v>
      </c>
      <c r="G542">
        <v>0</v>
      </c>
    </row>
    <row r="543" spans="1:7" x14ac:dyDescent="0.15">
      <c r="A543">
        <v>109902075</v>
      </c>
      <c r="B543">
        <v>2</v>
      </c>
      <c r="C543">
        <v>35</v>
      </c>
      <c r="D543">
        <v>45</v>
      </c>
      <c r="E543" t="s">
        <v>619</v>
      </c>
      <c r="G543">
        <v>0</v>
      </c>
    </row>
    <row r="544" spans="1:7" x14ac:dyDescent="0.15">
      <c r="A544">
        <v>109902076</v>
      </c>
      <c r="B544">
        <v>2</v>
      </c>
      <c r="C544">
        <v>35</v>
      </c>
      <c r="D544">
        <v>45</v>
      </c>
      <c r="E544" t="s">
        <v>620</v>
      </c>
      <c r="G544">
        <v>0</v>
      </c>
    </row>
    <row r="545" spans="1:7" x14ac:dyDescent="0.15">
      <c r="A545">
        <v>109902081</v>
      </c>
      <c r="B545">
        <v>2</v>
      </c>
      <c r="C545">
        <v>35</v>
      </c>
      <c r="D545">
        <v>45</v>
      </c>
      <c r="E545" t="s">
        <v>615</v>
      </c>
      <c r="G545">
        <v>0</v>
      </c>
    </row>
    <row r="546" spans="1:7" x14ac:dyDescent="0.15">
      <c r="A546">
        <v>109902082</v>
      </c>
      <c r="B546">
        <v>2</v>
      </c>
      <c r="C546">
        <v>35</v>
      </c>
      <c r="D546">
        <v>45</v>
      </c>
      <c r="E546" t="s">
        <v>616</v>
      </c>
      <c r="G546">
        <v>0</v>
      </c>
    </row>
    <row r="547" spans="1:7" x14ac:dyDescent="0.15">
      <c r="A547">
        <v>109902083</v>
      </c>
      <c r="B547">
        <v>2</v>
      </c>
      <c r="C547">
        <v>35</v>
      </c>
      <c r="D547">
        <v>45</v>
      </c>
      <c r="E547" t="s">
        <v>617</v>
      </c>
      <c r="G547">
        <v>0</v>
      </c>
    </row>
    <row r="548" spans="1:7" x14ac:dyDescent="0.15">
      <c r="A548">
        <v>109902084</v>
      </c>
      <c r="B548">
        <v>2</v>
      </c>
      <c r="C548">
        <v>35</v>
      </c>
      <c r="D548">
        <v>45</v>
      </c>
      <c r="E548" t="s">
        <v>618</v>
      </c>
      <c r="G548">
        <v>0</v>
      </c>
    </row>
    <row r="549" spans="1:7" x14ac:dyDescent="0.15">
      <c r="A549">
        <v>109902085</v>
      </c>
      <c r="B549">
        <v>2</v>
      </c>
      <c r="C549">
        <v>35</v>
      </c>
      <c r="D549">
        <v>45</v>
      </c>
      <c r="E549" t="s">
        <v>619</v>
      </c>
      <c r="G549">
        <v>0</v>
      </c>
    </row>
    <row r="550" spans="1:7" x14ac:dyDescent="0.15">
      <c r="A550">
        <v>109902086</v>
      </c>
      <c r="B550">
        <v>2</v>
      </c>
      <c r="C550">
        <v>35</v>
      </c>
      <c r="D550">
        <v>45</v>
      </c>
      <c r="E550" t="s">
        <v>620</v>
      </c>
      <c r="G550">
        <v>0</v>
      </c>
    </row>
    <row r="551" spans="1:7" x14ac:dyDescent="0.15">
      <c r="A551">
        <v>109902091</v>
      </c>
      <c r="B551">
        <v>2</v>
      </c>
      <c r="C551">
        <v>35</v>
      </c>
      <c r="D551">
        <v>45</v>
      </c>
      <c r="E551" t="s">
        <v>615</v>
      </c>
      <c r="G551">
        <v>0</v>
      </c>
    </row>
    <row r="552" spans="1:7" x14ac:dyDescent="0.15">
      <c r="A552">
        <v>109902092</v>
      </c>
      <c r="B552">
        <v>2</v>
      </c>
      <c r="C552">
        <v>35</v>
      </c>
      <c r="D552">
        <v>45</v>
      </c>
      <c r="E552" t="s">
        <v>616</v>
      </c>
      <c r="G552">
        <v>0</v>
      </c>
    </row>
    <row r="553" spans="1:7" x14ac:dyDescent="0.15">
      <c r="A553">
        <v>109902093</v>
      </c>
      <c r="B553">
        <v>2</v>
      </c>
      <c r="C553">
        <v>35</v>
      </c>
      <c r="D553">
        <v>45</v>
      </c>
      <c r="E553" t="s">
        <v>617</v>
      </c>
      <c r="G553">
        <v>0</v>
      </c>
    </row>
    <row r="554" spans="1:7" x14ac:dyDescent="0.15">
      <c r="A554">
        <v>109902094</v>
      </c>
      <c r="B554">
        <v>2</v>
      </c>
      <c r="C554">
        <v>35</v>
      </c>
      <c r="D554">
        <v>45</v>
      </c>
      <c r="E554" t="s">
        <v>618</v>
      </c>
      <c r="G554">
        <v>0</v>
      </c>
    </row>
    <row r="555" spans="1:7" x14ac:dyDescent="0.15">
      <c r="A555">
        <v>109902095</v>
      </c>
      <c r="B555">
        <v>2</v>
      </c>
      <c r="C555">
        <v>35</v>
      </c>
      <c r="D555">
        <v>45</v>
      </c>
      <c r="E555" t="s">
        <v>619</v>
      </c>
      <c r="G555">
        <v>0</v>
      </c>
    </row>
    <row r="556" spans="1:7" x14ac:dyDescent="0.15">
      <c r="A556">
        <v>109902096</v>
      </c>
      <c r="B556">
        <v>2</v>
      </c>
      <c r="C556">
        <v>35</v>
      </c>
      <c r="D556">
        <v>45</v>
      </c>
      <c r="E556" t="s">
        <v>620</v>
      </c>
      <c r="G556">
        <v>0</v>
      </c>
    </row>
    <row r="557" spans="1:7" x14ac:dyDescent="0.15">
      <c r="A557">
        <v>100301201</v>
      </c>
      <c r="B557">
        <v>1</v>
      </c>
      <c r="E557" t="s">
        <v>582</v>
      </c>
      <c r="F557" t="s">
        <v>583</v>
      </c>
      <c r="G557">
        <v>0</v>
      </c>
    </row>
    <row r="558" spans="1:7" x14ac:dyDescent="0.15">
      <c r="A558">
        <v>100302201</v>
      </c>
      <c r="B558">
        <v>1</v>
      </c>
      <c r="E558" t="s">
        <v>601</v>
      </c>
      <c r="F558" t="s">
        <v>564</v>
      </c>
      <c r="G558">
        <v>0</v>
      </c>
    </row>
    <row r="559" spans="1:7" x14ac:dyDescent="0.15">
      <c r="A559">
        <v>100303201</v>
      </c>
      <c r="B559">
        <v>1</v>
      </c>
      <c r="E559" t="s">
        <v>639</v>
      </c>
      <c r="F559" t="s">
        <v>569</v>
      </c>
      <c r="G559">
        <v>0</v>
      </c>
    </row>
    <row r="560" spans="1:7" x14ac:dyDescent="0.15">
      <c r="A560">
        <v>100304201</v>
      </c>
      <c r="B560">
        <v>1</v>
      </c>
      <c r="E560" t="s">
        <v>640</v>
      </c>
      <c r="F560" t="s">
        <v>641</v>
      </c>
      <c r="G560">
        <v>0</v>
      </c>
    </row>
    <row r="561" spans="1:7" x14ac:dyDescent="0.15">
      <c r="A561">
        <v>200101001</v>
      </c>
      <c r="B561">
        <v>2</v>
      </c>
      <c r="C561">
        <v>35</v>
      </c>
      <c r="D561">
        <v>45</v>
      </c>
      <c r="E561" t="s">
        <v>116</v>
      </c>
      <c r="F561" t="s">
        <v>563</v>
      </c>
      <c r="G561">
        <v>0</v>
      </c>
    </row>
    <row r="562" spans="1:7" x14ac:dyDescent="0.15">
      <c r="G562">
        <v>0</v>
      </c>
    </row>
    <row r="563" spans="1:7" x14ac:dyDescent="0.15">
      <c r="A563">
        <v>50001101</v>
      </c>
      <c r="B563">
        <v>2</v>
      </c>
      <c r="C563">
        <v>60</v>
      </c>
      <c r="D563">
        <v>60</v>
      </c>
      <c r="E563" t="s">
        <v>166</v>
      </c>
      <c r="F563" t="s">
        <v>167</v>
      </c>
      <c r="G563">
        <v>1</v>
      </c>
    </row>
    <row r="564" spans="1:7" x14ac:dyDescent="0.15">
      <c r="A564">
        <v>50001102</v>
      </c>
      <c r="B564">
        <v>1</v>
      </c>
      <c r="C564">
        <v>100</v>
      </c>
      <c r="D564">
        <v>100</v>
      </c>
      <c r="E564" t="s">
        <v>166</v>
      </c>
      <c r="F564" t="s">
        <v>168</v>
      </c>
      <c r="G564">
        <v>1</v>
      </c>
    </row>
    <row r="565" spans="1:7" x14ac:dyDescent="0.15">
      <c r="A565">
        <v>50001103</v>
      </c>
      <c r="B565">
        <v>4</v>
      </c>
      <c r="C565">
        <v>140</v>
      </c>
      <c r="D565">
        <v>140</v>
      </c>
      <c r="E565" t="s">
        <v>166</v>
      </c>
      <c r="F565" t="s">
        <v>169</v>
      </c>
      <c r="G565">
        <v>1</v>
      </c>
    </row>
    <row r="566" spans="1:7" x14ac:dyDescent="0.15">
      <c r="A566">
        <v>50001104</v>
      </c>
      <c r="B566">
        <v>5</v>
      </c>
      <c r="C566">
        <v>200</v>
      </c>
      <c r="D566">
        <v>200</v>
      </c>
      <c r="E566" t="s">
        <v>166</v>
      </c>
      <c r="F566" t="s">
        <v>170</v>
      </c>
      <c r="G566">
        <v>1</v>
      </c>
    </row>
    <row r="567" spans="1:7" x14ac:dyDescent="0.15">
      <c r="A567">
        <v>50002101</v>
      </c>
      <c r="B567">
        <v>2</v>
      </c>
      <c r="C567">
        <v>60</v>
      </c>
      <c r="D567">
        <v>60</v>
      </c>
      <c r="E567" t="s">
        <v>642</v>
      </c>
      <c r="F567" t="s">
        <v>171</v>
      </c>
      <c r="G567">
        <v>1</v>
      </c>
    </row>
    <row r="568" spans="1:7" x14ac:dyDescent="0.15">
      <c r="A568">
        <v>50002102</v>
      </c>
      <c r="B568">
        <v>1</v>
      </c>
      <c r="C568">
        <v>100</v>
      </c>
      <c r="D568">
        <v>100</v>
      </c>
      <c r="E568" t="s">
        <v>642</v>
      </c>
      <c r="F568" t="s">
        <v>172</v>
      </c>
      <c r="G568">
        <v>1</v>
      </c>
    </row>
    <row r="569" spans="1:7" x14ac:dyDescent="0.15">
      <c r="A569">
        <v>50002103</v>
      </c>
      <c r="B569">
        <v>4</v>
      </c>
      <c r="C569">
        <v>140</v>
      </c>
      <c r="D569">
        <v>140</v>
      </c>
      <c r="E569" t="s">
        <v>642</v>
      </c>
      <c r="F569" t="s">
        <v>173</v>
      </c>
      <c r="G569">
        <v>1</v>
      </c>
    </row>
    <row r="570" spans="1:7" x14ac:dyDescent="0.15">
      <c r="A570">
        <v>50002104</v>
      </c>
      <c r="B570">
        <v>5</v>
      </c>
      <c r="C570">
        <v>200</v>
      </c>
      <c r="D570">
        <v>200</v>
      </c>
      <c r="E570" t="s">
        <v>642</v>
      </c>
      <c r="F570" t="s">
        <v>174</v>
      </c>
      <c r="G570">
        <v>1</v>
      </c>
    </row>
    <row r="571" spans="1:7" x14ac:dyDescent="0.15">
      <c r="A571">
        <v>50003101</v>
      </c>
      <c r="B571">
        <v>2</v>
      </c>
      <c r="C571">
        <v>60</v>
      </c>
      <c r="D571">
        <v>60</v>
      </c>
      <c r="E571" t="s">
        <v>175</v>
      </c>
      <c r="F571" t="s">
        <v>643</v>
      </c>
      <c r="G571">
        <v>1</v>
      </c>
    </row>
    <row r="572" spans="1:7" x14ac:dyDescent="0.15">
      <c r="A572">
        <v>50003106</v>
      </c>
      <c r="B572">
        <v>2</v>
      </c>
      <c r="C572">
        <v>60</v>
      </c>
      <c r="D572">
        <v>60</v>
      </c>
      <c r="E572" t="s">
        <v>175</v>
      </c>
      <c r="F572" t="s">
        <v>643</v>
      </c>
      <c r="G572">
        <v>0</v>
      </c>
    </row>
    <row r="573" spans="1:7" x14ac:dyDescent="0.15">
      <c r="A573">
        <v>50003102</v>
      </c>
      <c r="B573">
        <v>1</v>
      </c>
      <c r="C573">
        <v>100</v>
      </c>
      <c r="D573">
        <v>100</v>
      </c>
      <c r="E573" t="s">
        <v>175</v>
      </c>
      <c r="F573" t="s">
        <v>644</v>
      </c>
      <c r="G573">
        <v>1</v>
      </c>
    </row>
    <row r="574" spans="1:7" x14ac:dyDescent="0.15">
      <c r="A574">
        <v>50003103</v>
      </c>
      <c r="B574">
        <v>4</v>
      </c>
      <c r="C574">
        <v>140</v>
      </c>
      <c r="D574">
        <v>140</v>
      </c>
      <c r="E574" t="s">
        <v>175</v>
      </c>
      <c r="F574" t="s">
        <v>645</v>
      </c>
      <c r="G574">
        <v>1</v>
      </c>
    </row>
    <row r="575" spans="1:7" x14ac:dyDescent="0.15">
      <c r="A575">
        <v>50003104</v>
      </c>
      <c r="B575">
        <v>5</v>
      </c>
      <c r="C575">
        <v>200</v>
      </c>
      <c r="D575">
        <v>200</v>
      </c>
      <c r="E575" t="s">
        <v>175</v>
      </c>
      <c r="F575" t="s">
        <v>646</v>
      </c>
      <c r="G575">
        <v>1</v>
      </c>
    </row>
    <row r="576" spans="1:7" x14ac:dyDescent="0.15">
      <c r="A576">
        <v>50004101</v>
      </c>
      <c r="B576">
        <v>2</v>
      </c>
      <c r="C576">
        <v>60</v>
      </c>
      <c r="D576">
        <v>60</v>
      </c>
      <c r="E576" t="s">
        <v>176</v>
      </c>
      <c r="F576" t="s">
        <v>177</v>
      </c>
      <c r="G576">
        <v>1</v>
      </c>
    </row>
    <row r="577" spans="1:7" x14ac:dyDescent="0.15">
      <c r="A577">
        <v>50004102</v>
      </c>
      <c r="B577">
        <v>1</v>
      </c>
      <c r="C577">
        <v>100</v>
      </c>
      <c r="D577">
        <v>100</v>
      </c>
      <c r="E577" t="s">
        <v>176</v>
      </c>
      <c r="F577" t="s">
        <v>178</v>
      </c>
      <c r="G577">
        <v>1</v>
      </c>
    </row>
    <row r="578" spans="1:7" x14ac:dyDescent="0.15">
      <c r="A578">
        <v>50004103</v>
      </c>
      <c r="B578">
        <v>4</v>
      </c>
      <c r="C578">
        <v>140</v>
      </c>
      <c r="D578">
        <v>140</v>
      </c>
      <c r="E578" t="s">
        <v>176</v>
      </c>
      <c r="F578" t="s">
        <v>179</v>
      </c>
      <c r="G578">
        <v>1</v>
      </c>
    </row>
    <row r="579" spans="1:7" x14ac:dyDescent="0.15">
      <c r="A579">
        <v>50004104</v>
      </c>
      <c r="B579">
        <v>5</v>
      </c>
      <c r="C579">
        <v>200</v>
      </c>
      <c r="D579">
        <v>200</v>
      </c>
      <c r="E579" t="s">
        <v>176</v>
      </c>
      <c r="F579" t="s">
        <v>180</v>
      </c>
      <c r="G579">
        <v>1</v>
      </c>
    </row>
    <row r="580" spans="1:7" x14ac:dyDescent="0.15">
      <c r="A580">
        <v>50005101</v>
      </c>
      <c r="B580">
        <v>2</v>
      </c>
      <c r="C580">
        <v>60</v>
      </c>
      <c r="D580">
        <v>60</v>
      </c>
      <c r="E580" t="s">
        <v>181</v>
      </c>
      <c r="F580" t="s">
        <v>182</v>
      </c>
      <c r="G580">
        <v>1</v>
      </c>
    </row>
    <row r="581" spans="1:7" x14ac:dyDescent="0.15">
      <c r="A581">
        <v>50005102</v>
      </c>
      <c r="B581">
        <v>1</v>
      </c>
      <c r="C581">
        <v>100</v>
      </c>
      <c r="D581">
        <v>100</v>
      </c>
      <c r="E581" t="s">
        <v>181</v>
      </c>
      <c r="F581" t="s">
        <v>183</v>
      </c>
      <c r="G581">
        <v>1</v>
      </c>
    </row>
    <row r="582" spans="1:7" x14ac:dyDescent="0.15">
      <c r="A582">
        <v>50005103</v>
      </c>
      <c r="B582">
        <v>4</v>
      </c>
      <c r="C582">
        <v>140</v>
      </c>
      <c r="D582">
        <v>140</v>
      </c>
      <c r="E582" t="s">
        <v>181</v>
      </c>
      <c r="F582" t="s">
        <v>184</v>
      </c>
      <c r="G582">
        <v>1</v>
      </c>
    </row>
    <row r="583" spans="1:7" x14ac:dyDescent="0.15">
      <c r="A583">
        <v>50005104</v>
      </c>
      <c r="B583">
        <v>5</v>
      </c>
      <c r="C583">
        <v>200</v>
      </c>
      <c r="D583">
        <v>200</v>
      </c>
      <c r="E583" t="s">
        <v>181</v>
      </c>
      <c r="F583" t="s">
        <v>185</v>
      </c>
      <c r="G583">
        <v>1</v>
      </c>
    </row>
    <row r="584" spans="1:7" x14ac:dyDescent="0.15">
      <c r="A584">
        <v>50006101</v>
      </c>
      <c r="B584">
        <v>2</v>
      </c>
      <c r="C584">
        <v>60</v>
      </c>
      <c r="D584">
        <v>60</v>
      </c>
      <c r="E584" t="s">
        <v>186</v>
      </c>
      <c r="F584" t="s">
        <v>187</v>
      </c>
      <c r="G584">
        <v>1</v>
      </c>
    </row>
    <row r="585" spans="1:7" x14ac:dyDescent="0.15">
      <c r="A585">
        <v>50006102</v>
      </c>
      <c r="B585">
        <v>1</v>
      </c>
      <c r="C585">
        <v>100</v>
      </c>
      <c r="D585">
        <v>100</v>
      </c>
      <c r="E585" t="s">
        <v>186</v>
      </c>
      <c r="F585" t="s">
        <v>188</v>
      </c>
      <c r="G585">
        <v>1</v>
      </c>
    </row>
    <row r="586" spans="1:7" x14ac:dyDescent="0.15">
      <c r="A586">
        <v>50006103</v>
      </c>
      <c r="B586">
        <v>4</v>
      </c>
      <c r="C586">
        <v>140</v>
      </c>
      <c r="D586">
        <v>140</v>
      </c>
      <c r="E586" t="s">
        <v>186</v>
      </c>
      <c r="F586" t="s">
        <v>189</v>
      </c>
      <c r="G586">
        <v>1</v>
      </c>
    </row>
    <row r="587" spans="1:7" x14ac:dyDescent="0.15">
      <c r="A587">
        <v>50006104</v>
      </c>
      <c r="B587">
        <v>5</v>
      </c>
      <c r="C587">
        <v>200</v>
      </c>
      <c r="D587">
        <v>200</v>
      </c>
      <c r="E587" t="s">
        <v>186</v>
      </c>
      <c r="F587" t="s">
        <v>190</v>
      </c>
      <c r="G587">
        <v>1</v>
      </c>
    </row>
    <row r="588" spans="1:7" x14ac:dyDescent="0.15">
      <c r="A588">
        <v>50007101</v>
      </c>
      <c r="B588">
        <v>2</v>
      </c>
      <c r="C588">
        <v>60</v>
      </c>
      <c r="D588">
        <v>60</v>
      </c>
      <c r="E588" t="s">
        <v>191</v>
      </c>
      <c r="F588" t="s">
        <v>647</v>
      </c>
      <c r="G588">
        <v>1</v>
      </c>
    </row>
    <row r="589" spans="1:7" x14ac:dyDescent="0.15">
      <c r="A589">
        <v>50007102</v>
      </c>
      <c r="B589">
        <v>1</v>
      </c>
      <c r="C589">
        <v>100</v>
      </c>
      <c r="D589">
        <v>100</v>
      </c>
      <c r="E589" t="s">
        <v>191</v>
      </c>
      <c r="F589" t="s">
        <v>648</v>
      </c>
      <c r="G589">
        <v>1</v>
      </c>
    </row>
    <row r="590" spans="1:7" x14ac:dyDescent="0.15">
      <c r="A590">
        <v>50007103</v>
      </c>
      <c r="B590">
        <v>4</v>
      </c>
      <c r="C590">
        <v>140</v>
      </c>
      <c r="D590">
        <v>140</v>
      </c>
      <c r="E590" t="s">
        <v>191</v>
      </c>
      <c r="F590" t="s">
        <v>649</v>
      </c>
      <c r="G590">
        <v>1</v>
      </c>
    </row>
    <row r="591" spans="1:7" x14ac:dyDescent="0.15">
      <c r="A591">
        <v>50007104</v>
      </c>
      <c r="B591">
        <v>5</v>
      </c>
      <c r="C591">
        <v>200</v>
      </c>
      <c r="D591">
        <v>200</v>
      </c>
      <c r="E591" t="s">
        <v>191</v>
      </c>
      <c r="F591" t="s">
        <v>650</v>
      </c>
      <c r="G591">
        <v>1</v>
      </c>
    </row>
    <row r="592" spans="1:7" x14ac:dyDescent="0.15">
      <c r="A592">
        <v>50008101</v>
      </c>
      <c r="B592">
        <v>2</v>
      </c>
      <c r="C592">
        <v>60</v>
      </c>
      <c r="D592">
        <v>60</v>
      </c>
      <c r="E592" t="s">
        <v>192</v>
      </c>
      <c r="F592" t="s">
        <v>651</v>
      </c>
      <c r="G592">
        <v>1</v>
      </c>
    </row>
    <row r="593" spans="1:7" x14ac:dyDescent="0.15">
      <c r="A593">
        <v>50008102</v>
      </c>
      <c r="B593">
        <v>1</v>
      </c>
      <c r="C593">
        <v>100</v>
      </c>
      <c r="D593">
        <v>100</v>
      </c>
      <c r="E593" t="s">
        <v>192</v>
      </c>
      <c r="F593" t="s">
        <v>652</v>
      </c>
      <c r="G593">
        <v>1</v>
      </c>
    </row>
    <row r="594" spans="1:7" x14ac:dyDescent="0.15">
      <c r="A594">
        <v>50008103</v>
      </c>
      <c r="B594">
        <v>4</v>
      </c>
      <c r="C594">
        <v>140</v>
      </c>
      <c r="D594">
        <v>140</v>
      </c>
      <c r="E594" t="s">
        <v>192</v>
      </c>
      <c r="F594" t="s">
        <v>653</v>
      </c>
      <c r="G594">
        <v>1</v>
      </c>
    </row>
    <row r="595" spans="1:7" x14ac:dyDescent="0.15">
      <c r="A595">
        <v>50008104</v>
      </c>
      <c r="B595">
        <v>5</v>
      </c>
      <c r="C595">
        <v>200</v>
      </c>
      <c r="D595">
        <v>200</v>
      </c>
      <c r="E595" t="s">
        <v>192</v>
      </c>
      <c r="F595" t="s">
        <v>654</v>
      </c>
      <c r="G595">
        <v>1</v>
      </c>
    </row>
    <row r="596" spans="1:7" x14ac:dyDescent="0.15">
      <c r="A596">
        <v>50101000</v>
      </c>
      <c r="B596">
        <v>1</v>
      </c>
      <c r="C596">
        <v>20</v>
      </c>
      <c r="D596">
        <v>20</v>
      </c>
      <c r="E596" t="s">
        <v>193</v>
      </c>
      <c r="F596" t="s">
        <v>194</v>
      </c>
      <c r="G596">
        <v>1</v>
      </c>
    </row>
    <row r="597" spans="1:7" x14ac:dyDescent="0.15">
      <c r="A597">
        <v>50101001</v>
      </c>
      <c r="B597">
        <v>2</v>
      </c>
      <c r="C597">
        <v>60</v>
      </c>
      <c r="D597">
        <v>60</v>
      </c>
      <c r="E597" t="s">
        <v>193</v>
      </c>
      <c r="F597" t="s">
        <v>195</v>
      </c>
      <c r="G597">
        <v>1</v>
      </c>
    </row>
    <row r="598" spans="1:7" x14ac:dyDescent="0.15">
      <c r="A598">
        <v>50101006</v>
      </c>
      <c r="B598">
        <v>2</v>
      </c>
      <c r="C598">
        <v>60</v>
      </c>
      <c r="D598">
        <v>60</v>
      </c>
      <c r="E598" t="s">
        <v>193</v>
      </c>
      <c r="F598" t="s">
        <v>195</v>
      </c>
      <c r="G598">
        <v>0</v>
      </c>
    </row>
    <row r="599" spans="1:7" x14ac:dyDescent="0.15">
      <c r="A599">
        <v>50101002</v>
      </c>
      <c r="B599">
        <v>1</v>
      </c>
      <c r="C599">
        <v>100</v>
      </c>
      <c r="D599">
        <v>100</v>
      </c>
      <c r="E599" t="s">
        <v>193</v>
      </c>
      <c r="F599" t="s">
        <v>196</v>
      </c>
      <c r="G599">
        <v>1</v>
      </c>
    </row>
    <row r="600" spans="1:7" x14ac:dyDescent="0.15">
      <c r="A600">
        <v>50101003</v>
      </c>
      <c r="B600">
        <v>4</v>
      </c>
      <c r="C600">
        <v>140</v>
      </c>
      <c r="D600">
        <v>140</v>
      </c>
      <c r="E600" t="s">
        <v>193</v>
      </c>
      <c r="F600" t="s">
        <v>655</v>
      </c>
      <c r="G600">
        <v>1</v>
      </c>
    </row>
    <row r="601" spans="1:7" x14ac:dyDescent="0.15">
      <c r="A601">
        <v>50101004</v>
      </c>
      <c r="B601">
        <v>5</v>
      </c>
      <c r="C601">
        <v>200</v>
      </c>
      <c r="D601">
        <v>200</v>
      </c>
      <c r="E601" t="s">
        <v>193</v>
      </c>
      <c r="F601" t="s">
        <v>197</v>
      </c>
      <c r="G601">
        <v>1</v>
      </c>
    </row>
    <row r="602" spans="1:7" x14ac:dyDescent="0.15">
      <c r="A602">
        <v>50102000</v>
      </c>
      <c r="B602">
        <v>1</v>
      </c>
      <c r="C602">
        <v>20</v>
      </c>
      <c r="D602">
        <v>20</v>
      </c>
      <c r="E602" t="s">
        <v>198</v>
      </c>
      <c r="F602" t="s">
        <v>199</v>
      </c>
      <c r="G602">
        <v>1</v>
      </c>
    </row>
    <row r="603" spans="1:7" x14ac:dyDescent="0.15">
      <c r="A603">
        <v>50102001</v>
      </c>
      <c r="B603">
        <v>2</v>
      </c>
      <c r="C603">
        <v>60</v>
      </c>
      <c r="D603">
        <v>60</v>
      </c>
      <c r="E603" t="s">
        <v>198</v>
      </c>
      <c r="F603" t="s">
        <v>200</v>
      </c>
      <c r="G603">
        <v>1</v>
      </c>
    </row>
    <row r="604" spans="1:7" x14ac:dyDescent="0.15">
      <c r="A604">
        <v>50102002</v>
      </c>
      <c r="B604">
        <v>1</v>
      </c>
      <c r="C604">
        <v>100</v>
      </c>
      <c r="D604">
        <v>100</v>
      </c>
      <c r="E604" t="s">
        <v>198</v>
      </c>
      <c r="F604" t="s">
        <v>201</v>
      </c>
      <c r="G604">
        <v>1</v>
      </c>
    </row>
    <row r="605" spans="1:7" x14ac:dyDescent="0.15">
      <c r="A605">
        <v>50102003</v>
      </c>
      <c r="B605">
        <v>4</v>
      </c>
      <c r="C605">
        <v>140</v>
      </c>
      <c r="D605">
        <v>140</v>
      </c>
      <c r="E605" t="s">
        <v>198</v>
      </c>
      <c r="F605" t="s">
        <v>202</v>
      </c>
      <c r="G605">
        <v>1</v>
      </c>
    </row>
    <row r="606" spans="1:7" x14ac:dyDescent="0.15">
      <c r="A606">
        <v>50102004</v>
      </c>
      <c r="B606">
        <v>5</v>
      </c>
      <c r="C606">
        <v>200</v>
      </c>
      <c r="D606">
        <v>200</v>
      </c>
      <c r="E606" t="s">
        <v>198</v>
      </c>
      <c r="F606" t="s">
        <v>203</v>
      </c>
      <c r="G606">
        <v>1</v>
      </c>
    </row>
    <row r="607" spans="1:7" x14ac:dyDescent="0.15">
      <c r="A607">
        <v>50103003</v>
      </c>
      <c r="B607">
        <v>4</v>
      </c>
      <c r="C607">
        <v>140</v>
      </c>
      <c r="D607">
        <v>140</v>
      </c>
      <c r="E607" t="s">
        <v>204</v>
      </c>
      <c r="F607" t="s">
        <v>656</v>
      </c>
      <c r="G607">
        <v>1</v>
      </c>
    </row>
    <row r="608" spans="1:7" x14ac:dyDescent="0.15">
      <c r="A608">
        <v>50103004</v>
      </c>
      <c r="B608">
        <v>5</v>
      </c>
      <c r="C608">
        <v>200</v>
      </c>
      <c r="D608">
        <v>200</v>
      </c>
      <c r="E608" t="s">
        <v>204</v>
      </c>
      <c r="F608" t="s">
        <v>657</v>
      </c>
      <c r="G608">
        <v>1</v>
      </c>
    </row>
    <row r="609" spans="1:7" x14ac:dyDescent="0.15">
      <c r="A609">
        <v>50104000</v>
      </c>
      <c r="B609">
        <v>1</v>
      </c>
      <c r="C609">
        <v>20</v>
      </c>
      <c r="D609">
        <v>20</v>
      </c>
      <c r="E609" t="s">
        <v>658</v>
      </c>
      <c r="F609" t="s">
        <v>205</v>
      </c>
      <c r="G609">
        <v>1</v>
      </c>
    </row>
    <row r="610" spans="1:7" x14ac:dyDescent="0.15">
      <c r="A610">
        <v>50104001</v>
      </c>
      <c r="B610">
        <v>2</v>
      </c>
      <c r="C610">
        <v>60</v>
      </c>
      <c r="D610">
        <v>60</v>
      </c>
      <c r="E610" t="s">
        <v>658</v>
      </c>
      <c r="F610" t="s">
        <v>659</v>
      </c>
      <c r="G610">
        <v>1</v>
      </c>
    </row>
    <row r="611" spans="1:7" x14ac:dyDescent="0.15">
      <c r="A611">
        <v>50104002</v>
      </c>
      <c r="B611">
        <v>1</v>
      </c>
      <c r="C611">
        <v>100</v>
      </c>
      <c r="D611">
        <v>100</v>
      </c>
      <c r="E611" t="s">
        <v>658</v>
      </c>
      <c r="F611" t="s">
        <v>206</v>
      </c>
      <c r="G611">
        <v>1</v>
      </c>
    </row>
    <row r="612" spans="1:7" x14ac:dyDescent="0.15">
      <c r="A612">
        <v>50104003</v>
      </c>
      <c r="B612">
        <v>4</v>
      </c>
      <c r="C612">
        <v>140</v>
      </c>
      <c r="D612">
        <v>140</v>
      </c>
      <c r="E612" t="s">
        <v>658</v>
      </c>
      <c r="F612" t="s">
        <v>660</v>
      </c>
      <c r="G612">
        <v>1</v>
      </c>
    </row>
    <row r="613" spans="1:7" x14ac:dyDescent="0.15">
      <c r="A613">
        <v>50104004</v>
      </c>
      <c r="B613">
        <v>5</v>
      </c>
      <c r="C613">
        <v>200</v>
      </c>
      <c r="D613">
        <v>200</v>
      </c>
      <c r="E613" t="s">
        <v>658</v>
      </c>
      <c r="F613" t="s">
        <v>661</v>
      </c>
      <c r="G613">
        <v>1</v>
      </c>
    </row>
    <row r="614" spans="1:7" x14ac:dyDescent="0.15">
      <c r="A614">
        <v>50105002</v>
      </c>
      <c r="B614">
        <v>1</v>
      </c>
      <c r="C614">
        <v>100</v>
      </c>
      <c r="D614">
        <v>100</v>
      </c>
      <c r="E614" t="s">
        <v>207</v>
      </c>
      <c r="F614" t="s">
        <v>662</v>
      </c>
      <c r="G614">
        <v>1</v>
      </c>
    </row>
    <row r="615" spans="1:7" x14ac:dyDescent="0.15">
      <c r="A615">
        <v>50105003</v>
      </c>
      <c r="B615">
        <v>4</v>
      </c>
      <c r="C615">
        <v>140</v>
      </c>
      <c r="D615">
        <v>140</v>
      </c>
      <c r="E615" t="s">
        <v>207</v>
      </c>
      <c r="F615" t="s">
        <v>663</v>
      </c>
      <c r="G615">
        <v>1</v>
      </c>
    </row>
    <row r="616" spans="1:7" x14ac:dyDescent="0.15">
      <c r="A616">
        <v>50105004</v>
      </c>
      <c r="B616">
        <v>5</v>
      </c>
      <c r="C616">
        <v>200</v>
      </c>
      <c r="D616">
        <v>200</v>
      </c>
      <c r="E616" t="s">
        <v>207</v>
      </c>
      <c r="F616" t="s">
        <v>664</v>
      </c>
      <c r="G616">
        <v>1</v>
      </c>
    </row>
    <row r="617" spans="1:7" x14ac:dyDescent="0.15">
      <c r="A617">
        <v>50106003</v>
      </c>
      <c r="B617">
        <v>1</v>
      </c>
      <c r="C617">
        <v>100</v>
      </c>
      <c r="D617">
        <v>100</v>
      </c>
      <c r="E617" t="s">
        <v>208</v>
      </c>
      <c r="F617" t="s">
        <v>209</v>
      </c>
      <c r="G617">
        <v>1</v>
      </c>
    </row>
    <row r="618" spans="1:7" x14ac:dyDescent="0.15">
      <c r="A618">
        <v>50106004</v>
      </c>
      <c r="B618">
        <v>4</v>
      </c>
      <c r="C618">
        <v>140</v>
      </c>
      <c r="D618">
        <v>140</v>
      </c>
      <c r="E618" t="s">
        <v>208</v>
      </c>
      <c r="F618" t="s">
        <v>210</v>
      </c>
      <c r="G618">
        <v>1</v>
      </c>
    </row>
    <row r="619" spans="1:7" x14ac:dyDescent="0.15">
      <c r="A619">
        <v>50107000</v>
      </c>
      <c r="B619">
        <v>1</v>
      </c>
      <c r="C619">
        <v>20</v>
      </c>
      <c r="D619">
        <v>20</v>
      </c>
      <c r="E619" t="s">
        <v>211</v>
      </c>
      <c r="F619" t="s">
        <v>212</v>
      </c>
      <c r="G619">
        <v>1</v>
      </c>
    </row>
    <row r="620" spans="1:7" x14ac:dyDescent="0.15">
      <c r="A620">
        <v>50107001</v>
      </c>
      <c r="B620">
        <v>2</v>
      </c>
      <c r="C620">
        <v>60</v>
      </c>
      <c r="D620">
        <v>60</v>
      </c>
      <c r="E620" t="s">
        <v>211</v>
      </c>
      <c r="F620" t="s">
        <v>213</v>
      </c>
      <c r="G620">
        <v>1</v>
      </c>
    </row>
    <row r="621" spans="1:7" x14ac:dyDescent="0.15">
      <c r="A621">
        <v>50107002</v>
      </c>
      <c r="B621">
        <v>1</v>
      </c>
      <c r="C621">
        <v>100</v>
      </c>
      <c r="D621">
        <v>100</v>
      </c>
      <c r="E621" t="s">
        <v>211</v>
      </c>
      <c r="F621" t="s">
        <v>214</v>
      </c>
      <c r="G621">
        <v>1</v>
      </c>
    </row>
    <row r="622" spans="1:7" x14ac:dyDescent="0.15">
      <c r="A622">
        <v>50107003</v>
      </c>
      <c r="B622">
        <v>4</v>
      </c>
      <c r="C622">
        <v>140</v>
      </c>
      <c r="D622">
        <v>140</v>
      </c>
      <c r="E622" t="s">
        <v>211</v>
      </c>
      <c r="F622" t="s">
        <v>215</v>
      </c>
      <c r="G622">
        <v>1</v>
      </c>
    </row>
    <row r="623" spans="1:7" x14ac:dyDescent="0.15">
      <c r="A623">
        <v>50107004</v>
      </c>
      <c r="B623">
        <v>5</v>
      </c>
      <c r="C623">
        <v>200</v>
      </c>
      <c r="D623">
        <v>200</v>
      </c>
      <c r="E623" t="s">
        <v>211</v>
      </c>
      <c r="F623" t="s">
        <v>216</v>
      </c>
      <c r="G623">
        <v>1</v>
      </c>
    </row>
    <row r="624" spans="1:7" x14ac:dyDescent="0.15">
      <c r="A624">
        <v>50108003</v>
      </c>
      <c r="B624">
        <v>4</v>
      </c>
      <c r="C624">
        <v>140</v>
      </c>
      <c r="D624">
        <v>140</v>
      </c>
      <c r="E624" t="s">
        <v>665</v>
      </c>
      <c r="F624" t="s">
        <v>217</v>
      </c>
      <c r="G624">
        <v>1</v>
      </c>
    </row>
    <row r="625" spans="1:7" x14ac:dyDescent="0.15">
      <c r="A625">
        <v>50108004</v>
      </c>
      <c r="B625">
        <v>5</v>
      </c>
      <c r="C625">
        <v>200</v>
      </c>
      <c r="D625">
        <v>200</v>
      </c>
      <c r="E625" t="s">
        <v>665</v>
      </c>
      <c r="F625" t="s">
        <v>217</v>
      </c>
      <c r="G625">
        <v>1</v>
      </c>
    </row>
    <row r="626" spans="1:7" x14ac:dyDescent="0.15">
      <c r="A626">
        <v>50109002</v>
      </c>
      <c r="B626">
        <v>1</v>
      </c>
      <c r="C626">
        <v>100</v>
      </c>
      <c r="D626">
        <v>100</v>
      </c>
      <c r="E626" t="s">
        <v>218</v>
      </c>
      <c r="F626" t="s">
        <v>219</v>
      </c>
      <c r="G626">
        <v>1</v>
      </c>
    </row>
    <row r="627" spans="1:7" x14ac:dyDescent="0.15">
      <c r="A627">
        <v>50109003</v>
      </c>
      <c r="B627">
        <v>4</v>
      </c>
      <c r="C627">
        <v>140</v>
      </c>
      <c r="D627">
        <v>140</v>
      </c>
      <c r="E627" t="s">
        <v>218</v>
      </c>
      <c r="F627" t="s">
        <v>220</v>
      </c>
      <c r="G627">
        <v>1</v>
      </c>
    </row>
    <row r="628" spans="1:7" x14ac:dyDescent="0.15">
      <c r="A628">
        <v>50109004</v>
      </c>
      <c r="B628">
        <v>5</v>
      </c>
      <c r="C628">
        <v>200</v>
      </c>
      <c r="D628">
        <v>200</v>
      </c>
      <c r="E628" t="s">
        <v>218</v>
      </c>
      <c r="F628" t="s">
        <v>221</v>
      </c>
      <c r="G628">
        <v>1</v>
      </c>
    </row>
    <row r="629" spans="1:7" x14ac:dyDescent="0.15">
      <c r="A629">
        <v>50110000</v>
      </c>
      <c r="B629">
        <v>1</v>
      </c>
      <c r="C629">
        <v>20</v>
      </c>
      <c r="D629">
        <v>20</v>
      </c>
      <c r="E629" t="s">
        <v>666</v>
      </c>
      <c r="F629" t="s">
        <v>222</v>
      </c>
      <c r="G629">
        <v>1</v>
      </c>
    </row>
    <row r="630" spans="1:7" x14ac:dyDescent="0.15">
      <c r="A630">
        <v>50110001</v>
      </c>
      <c r="B630">
        <v>2</v>
      </c>
      <c r="C630">
        <v>60</v>
      </c>
      <c r="D630">
        <v>60</v>
      </c>
      <c r="E630" t="s">
        <v>666</v>
      </c>
      <c r="F630" t="s">
        <v>223</v>
      </c>
      <c r="G630">
        <v>1</v>
      </c>
    </row>
    <row r="631" spans="1:7" x14ac:dyDescent="0.15">
      <c r="A631">
        <v>50110002</v>
      </c>
      <c r="B631">
        <v>1</v>
      </c>
      <c r="C631">
        <v>100</v>
      </c>
      <c r="D631">
        <v>100</v>
      </c>
      <c r="E631" t="s">
        <v>666</v>
      </c>
      <c r="F631" t="s">
        <v>224</v>
      </c>
      <c r="G631">
        <v>1</v>
      </c>
    </row>
    <row r="632" spans="1:7" x14ac:dyDescent="0.15">
      <c r="A632">
        <v>50110003</v>
      </c>
      <c r="B632">
        <v>4</v>
      </c>
      <c r="C632">
        <v>140</v>
      </c>
      <c r="D632">
        <v>140</v>
      </c>
      <c r="E632" t="s">
        <v>666</v>
      </c>
      <c r="F632" t="s">
        <v>225</v>
      </c>
      <c r="G632">
        <v>1</v>
      </c>
    </row>
    <row r="633" spans="1:7" x14ac:dyDescent="0.15">
      <c r="A633">
        <v>50110004</v>
      </c>
      <c r="B633">
        <v>5</v>
      </c>
      <c r="C633">
        <v>200</v>
      </c>
      <c r="D633">
        <v>200</v>
      </c>
      <c r="E633" t="s">
        <v>666</v>
      </c>
      <c r="F633" t="s">
        <v>667</v>
      </c>
      <c r="G633">
        <v>1</v>
      </c>
    </row>
    <row r="634" spans="1:7" x14ac:dyDescent="0.15">
      <c r="A634">
        <v>50201002</v>
      </c>
      <c r="B634">
        <v>1</v>
      </c>
      <c r="C634">
        <v>100</v>
      </c>
      <c r="D634">
        <v>100</v>
      </c>
      <c r="E634" t="s">
        <v>226</v>
      </c>
      <c r="F634" t="s">
        <v>227</v>
      </c>
      <c r="G634">
        <v>1</v>
      </c>
    </row>
    <row r="635" spans="1:7" x14ac:dyDescent="0.15">
      <c r="A635">
        <v>50201003</v>
      </c>
      <c r="B635">
        <v>4</v>
      </c>
      <c r="C635">
        <v>140</v>
      </c>
      <c r="D635">
        <v>140</v>
      </c>
      <c r="E635" t="s">
        <v>226</v>
      </c>
      <c r="F635" t="s">
        <v>228</v>
      </c>
      <c r="G635">
        <v>1</v>
      </c>
    </row>
    <row r="636" spans="1:7" x14ac:dyDescent="0.15">
      <c r="A636">
        <v>50201004</v>
      </c>
      <c r="B636">
        <v>5</v>
      </c>
      <c r="C636">
        <v>200</v>
      </c>
      <c r="D636">
        <v>200</v>
      </c>
      <c r="E636" t="s">
        <v>226</v>
      </c>
      <c r="F636" t="s">
        <v>229</v>
      </c>
      <c r="G636">
        <v>1</v>
      </c>
    </row>
    <row r="637" spans="1:7" x14ac:dyDescent="0.15">
      <c r="A637">
        <v>50202000</v>
      </c>
      <c r="B637">
        <v>1</v>
      </c>
      <c r="C637">
        <v>20</v>
      </c>
      <c r="D637">
        <v>20</v>
      </c>
      <c r="E637" t="s">
        <v>230</v>
      </c>
      <c r="F637" t="s">
        <v>231</v>
      </c>
      <c r="G637">
        <v>1</v>
      </c>
    </row>
    <row r="638" spans="1:7" x14ac:dyDescent="0.15">
      <c r="A638">
        <v>50202001</v>
      </c>
      <c r="B638">
        <v>2</v>
      </c>
      <c r="C638">
        <v>60</v>
      </c>
      <c r="D638">
        <v>60</v>
      </c>
      <c r="E638" t="s">
        <v>230</v>
      </c>
      <c r="F638" t="s">
        <v>232</v>
      </c>
      <c r="G638">
        <v>1</v>
      </c>
    </row>
    <row r="639" spans="1:7" x14ac:dyDescent="0.15">
      <c r="A639">
        <v>50202002</v>
      </c>
      <c r="B639">
        <v>1</v>
      </c>
      <c r="C639">
        <v>100</v>
      </c>
      <c r="D639">
        <v>100</v>
      </c>
      <c r="E639" t="s">
        <v>230</v>
      </c>
      <c r="F639" t="s">
        <v>233</v>
      </c>
      <c r="G639">
        <v>1</v>
      </c>
    </row>
    <row r="640" spans="1:7" x14ac:dyDescent="0.15">
      <c r="A640">
        <v>50202003</v>
      </c>
      <c r="B640">
        <v>4</v>
      </c>
      <c r="C640">
        <v>140</v>
      </c>
      <c r="D640">
        <v>140</v>
      </c>
      <c r="E640" t="s">
        <v>230</v>
      </c>
      <c r="F640" t="s">
        <v>234</v>
      </c>
      <c r="G640">
        <v>1</v>
      </c>
    </row>
    <row r="641" spans="1:7" x14ac:dyDescent="0.15">
      <c r="A641">
        <v>50202004</v>
      </c>
      <c r="B641">
        <v>5</v>
      </c>
      <c r="C641">
        <v>200</v>
      </c>
      <c r="D641">
        <v>200</v>
      </c>
      <c r="E641" t="s">
        <v>230</v>
      </c>
      <c r="F641" t="s">
        <v>235</v>
      </c>
      <c r="G641">
        <v>1</v>
      </c>
    </row>
    <row r="642" spans="1:7" x14ac:dyDescent="0.15">
      <c r="A642">
        <v>50203000</v>
      </c>
      <c r="B642">
        <v>1</v>
      </c>
      <c r="C642">
        <v>20</v>
      </c>
      <c r="D642">
        <v>20</v>
      </c>
      <c r="E642" t="s">
        <v>236</v>
      </c>
      <c r="F642" t="s">
        <v>237</v>
      </c>
      <c r="G642">
        <v>1</v>
      </c>
    </row>
    <row r="643" spans="1:7" x14ac:dyDescent="0.15">
      <c r="A643">
        <v>50203001</v>
      </c>
      <c r="B643">
        <v>2</v>
      </c>
      <c r="C643">
        <v>60</v>
      </c>
      <c r="D643">
        <v>60</v>
      </c>
      <c r="E643" t="s">
        <v>236</v>
      </c>
      <c r="F643" t="s">
        <v>238</v>
      </c>
      <c r="G643">
        <v>1</v>
      </c>
    </row>
    <row r="644" spans="1:7" x14ac:dyDescent="0.15">
      <c r="A644">
        <v>50203002</v>
      </c>
      <c r="B644">
        <v>1</v>
      </c>
      <c r="C644">
        <v>100</v>
      </c>
      <c r="D644">
        <v>100</v>
      </c>
      <c r="E644" t="s">
        <v>236</v>
      </c>
      <c r="F644" t="s">
        <v>239</v>
      </c>
      <c r="G644">
        <v>1</v>
      </c>
    </row>
    <row r="645" spans="1:7" x14ac:dyDescent="0.15">
      <c r="A645">
        <v>50203003</v>
      </c>
      <c r="B645">
        <v>4</v>
      </c>
      <c r="C645">
        <v>140</v>
      </c>
      <c r="D645">
        <v>140</v>
      </c>
      <c r="E645" t="s">
        <v>236</v>
      </c>
      <c r="F645" t="s">
        <v>240</v>
      </c>
      <c r="G645">
        <v>1</v>
      </c>
    </row>
    <row r="646" spans="1:7" x14ac:dyDescent="0.15">
      <c r="A646">
        <v>50203004</v>
      </c>
      <c r="B646">
        <v>5</v>
      </c>
      <c r="C646">
        <v>200</v>
      </c>
      <c r="D646">
        <v>200</v>
      </c>
      <c r="E646" t="s">
        <v>236</v>
      </c>
      <c r="F646" t="s">
        <v>241</v>
      </c>
      <c r="G646">
        <v>1</v>
      </c>
    </row>
    <row r="647" spans="1:7" x14ac:dyDescent="0.15">
      <c r="A647">
        <v>50204002</v>
      </c>
      <c r="B647">
        <v>1</v>
      </c>
      <c r="C647">
        <v>100</v>
      </c>
      <c r="D647">
        <v>100</v>
      </c>
      <c r="E647" t="s">
        <v>242</v>
      </c>
      <c r="F647" t="s">
        <v>243</v>
      </c>
      <c r="G647">
        <v>1</v>
      </c>
    </row>
    <row r="648" spans="1:7" x14ac:dyDescent="0.15">
      <c r="A648">
        <v>50205000</v>
      </c>
      <c r="B648">
        <v>1</v>
      </c>
      <c r="C648">
        <v>20</v>
      </c>
      <c r="D648">
        <v>20</v>
      </c>
      <c r="E648" t="s">
        <v>244</v>
      </c>
      <c r="F648" t="s">
        <v>245</v>
      </c>
      <c r="G648">
        <v>1</v>
      </c>
    </row>
    <row r="649" spans="1:7" x14ac:dyDescent="0.15">
      <c r="A649">
        <v>50205001</v>
      </c>
      <c r="B649">
        <v>2</v>
      </c>
      <c r="C649">
        <v>60</v>
      </c>
      <c r="D649">
        <v>60</v>
      </c>
      <c r="E649" t="s">
        <v>244</v>
      </c>
      <c r="F649" t="s">
        <v>246</v>
      </c>
      <c r="G649">
        <v>1</v>
      </c>
    </row>
    <row r="650" spans="1:7" x14ac:dyDescent="0.15">
      <c r="A650">
        <v>50205002</v>
      </c>
      <c r="B650">
        <v>1</v>
      </c>
      <c r="C650">
        <v>100</v>
      </c>
      <c r="D650">
        <v>100</v>
      </c>
      <c r="E650" t="s">
        <v>244</v>
      </c>
      <c r="F650" t="s">
        <v>247</v>
      </c>
      <c r="G650">
        <v>1</v>
      </c>
    </row>
    <row r="651" spans="1:7" x14ac:dyDescent="0.15">
      <c r="A651">
        <v>50205003</v>
      </c>
      <c r="B651">
        <v>4</v>
      </c>
      <c r="C651">
        <v>140</v>
      </c>
      <c r="D651">
        <v>140</v>
      </c>
      <c r="E651" t="s">
        <v>244</v>
      </c>
      <c r="F651" t="s">
        <v>248</v>
      </c>
      <c r="G651">
        <v>1</v>
      </c>
    </row>
    <row r="652" spans="1:7" x14ac:dyDescent="0.15">
      <c r="A652">
        <v>50206000</v>
      </c>
      <c r="B652">
        <v>1</v>
      </c>
      <c r="C652">
        <v>20</v>
      </c>
      <c r="D652">
        <v>20</v>
      </c>
      <c r="E652" t="s">
        <v>668</v>
      </c>
      <c r="F652" t="s">
        <v>249</v>
      </c>
      <c r="G652">
        <v>1</v>
      </c>
    </row>
    <row r="653" spans="1:7" x14ac:dyDescent="0.15">
      <c r="A653">
        <v>50206001</v>
      </c>
      <c r="B653">
        <v>2</v>
      </c>
      <c r="C653">
        <v>60</v>
      </c>
      <c r="D653">
        <v>60</v>
      </c>
      <c r="E653" t="s">
        <v>668</v>
      </c>
      <c r="F653" t="s">
        <v>250</v>
      </c>
      <c r="G653">
        <v>1</v>
      </c>
    </row>
    <row r="654" spans="1:7" x14ac:dyDescent="0.15">
      <c r="A654">
        <v>50206002</v>
      </c>
      <c r="B654">
        <v>1</v>
      </c>
      <c r="C654">
        <v>100</v>
      </c>
      <c r="D654">
        <v>100</v>
      </c>
      <c r="E654" t="s">
        <v>668</v>
      </c>
      <c r="F654" t="s">
        <v>251</v>
      </c>
      <c r="G654">
        <v>1</v>
      </c>
    </row>
    <row r="655" spans="1:7" x14ac:dyDescent="0.15">
      <c r="A655">
        <v>50206003</v>
      </c>
      <c r="B655">
        <v>4</v>
      </c>
      <c r="C655">
        <v>140</v>
      </c>
      <c r="D655">
        <v>140</v>
      </c>
      <c r="E655" t="s">
        <v>668</v>
      </c>
      <c r="F655" t="s">
        <v>252</v>
      </c>
      <c r="G655">
        <v>1</v>
      </c>
    </row>
    <row r="656" spans="1:7" x14ac:dyDescent="0.15">
      <c r="A656">
        <v>50206004</v>
      </c>
      <c r="B656">
        <v>5</v>
      </c>
      <c r="C656">
        <v>200</v>
      </c>
      <c r="D656">
        <v>200</v>
      </c>
      <c r="E656" t="s">
        <v>668</v>
      </c>
      <c r="F656" t="s">
        <v>253</v>
      </c>
      <c r="G656">
        <v>1</v>
      </c>
    </row>
    <row r="657" spans="1:7" x14ac:dyDescent="0.15">
      <c r="A657">
        <v>50207001</v>
      </c>
      <c r="B657">
        <v>2</v>
      </c>
      <c r="C657">
        <v>60</v>
      </c>
      <c r="D657">
        <v>60</v>
      </c>
      <c r="E657" t="s">
        <v>254</v>
      </c>
      <c r="F657" t="s">
        <v>255</v>
      </c>
      <c r="G657">
        <v>1</v>
      </c>
    </row>
    <row r="658" spans="1:7" x14ac:dyDescent="0.15">
      <c r="A658">
        <v>50207002</v>
      </c>
      <c r="B658">
        <v>1</v>
      </c>
      <c r="C658">
        <v>100</v>
      </c>
      <c r="D658">
        <v>100</v>
      </c>
      <c r="E658" t="s">
        <v>254</v>
      </c>
      <c r="F658" t="s">
        <v>256</v>
      </c>
      <c r="G658">
        <v>1</v>
      </c>
    </row>
    <row r="659" spans="1:7" x14ac:dyDescent="0.15">
      <c r="A659">
        <v>50208000</v>
      </c>
      <c r="B659">
        <v>1</v>
      </c>
      <c r="C659">
        <v>20</v>
      </c>
      <c r="D659">
        <v>20</v>
      </c>
      <c r="E659" t="s">
        <v>257</v>
      </c>
      <c r="F659" t="s">
        <v>258</v>
      </c>
      <c r="G659">
        <v>1</v>
      </c>
    </row>
    <row r="660" spans="1:7" x14ac:dyDescent="0.15">
      <c r="A660">
        <v>50208001</v>
      </c>
      <c r="B660">
        <v>2</v>
      </c>
      <c r="C660">
        <v>60</v>
      </c>
      <c r="D660">
        <v>60</v>
      </c>
      <c r="E660" t="s">
        <v>257</v>
      </c>
      <c r="F660" t="s">
        <v>259</v>
      </c>
      <c r="G660">
        <v>1</v>
      </c>
    </row>
    <row r="661" spans="1:7" x14ac:dyDescent="0.15">
      <c r="A661">
        <v>50208002</v>
      </c>
      <c r="B661">
        <v>1</v>
      </c>
      <c r="C661">
        <v>100</v>
      </c>
      <c r="D661">
        <v>100</v>
      </c>
      <c r="E661" t="s">
        <v>257</v>
      </c>
      <c r="F661" t="s">
        <v>260</v>
      </c>
      <c r="G661">
        <v>1</v>
      </c>
    </row>
    <row r="662" spans="1:7" x14ac:dyDescent="0.15">
      <c r="A662">
        <v>50208003</v>
      </c>
      <c r="B662">
        <v>4</v>
      </c>
      <c r="C662">
        <v>140</v>
      </c>
      <c r="D662">
        <v>140</v>
      </c>
      <c r="E662" t="s">
        <v>257</v>
      </c>
      <c r="F662" t="s">
        <v>261</v>
      </c>
      <c r="G662">
        <v>1</v>
      </c>
    </row>
    <row r="663" spans="1:7" x14ac:dyDescent="0.15">
      <c r="A663">
        <v>50208004</v>
      </c>
      <c r="B663">
        <v>5</v>
      </c>
      <c r="C663">
        <v>200</v>
      </c>
      <c r="D663">
        <v>200</v>
      </c>
      <c r="E663" t="s">
        <v>257</v>
      </c>
      <c r="F663" t="s">
        <v>262</v>
      </c>
      <c r="G663">
        <v>1</v>
      </c>
    </row>
    <row r="664" spans="1:7" x14ac:dyDescent="0.15">
      <c r="A664">
        <v>50209003</v>
      </c>
      <c r="B664">
        <v>4</v>
      </c>
      <c r="C664">
        <v>140</v>
      </c>
      <c r="D664">
        <v>140</v>
      </c>
      <c r="E664" t="s">
        <v>263</v>
      </c>
      <c r="F664" t="s">
        <v>669</v>
      </c>
      <c r="G664">
        <v>1</v>
      </c>
    </row>
    <row r="665" spans="1:7" x14ac:dyDescent="0.15">
      <c r="A665">
        <v>50209004</v>
      </c>
      <c r="B665">
        <v>5</v>
      </c>
      <c r="C665">
        <v>200</v>
      </c>
      <c r="D665">
        <v>200</v>
      </c>
      <c r="E665" t="s">
        <v>263</v>
      </c>
      <c r="F665" t="s">
        <v>670</v>
      </c>
      <c r="G665">
        <v>1</v>
      </c>
    </row>
    <row r="666" spans="1:7" x14ac:dyDescent="0.15">
      <c r="A666">
        <v>50210002</v>
      </c>
      <c r="B666">
        <v>1</v>
      </c>
      <c r="C666">
        <v>100</v>
      </c>
      <c r="D666">
        <v>100</v>
      </c>
      <c r="E666" t="s">
        <v>264</v>
      </c>
      <c r="F666" t="s">
        <v>265</v>
      </c>
      <c r="G666">
        <v>1</v>
      </c>
    </row>
    <row r="667" spans="1:7" x14ac:dyDescent="0.15">
      <c r="A667">
        <v>50210003</v>
      </c>
      <c r="B667">
        <v>4</v>
      </c>
      <c r="C667">
        <v>140</v>
      </c>
      <c r="D667">
        <v>140</v>
      </c>
      <c r="E667" t="s">
        <v>264</v>
      </c>
      <c r="F667" t="s">
        <v>266</v>
      </c>
      <c r="G667">
        <v>1</v>
      </c>
    </row>
    <row r="668" spans="1:7" x14ac:dyDescent="0.15">
      <c r="A668">
        <v>50307002</v>
      </c>
      <c r="B668">
        <v>1</v>
      </c>
      <c r="C668">
        <v>100</v>
      </c>
      <c r="D668">
        <v>100</v>
      </c>
      <c r="E668" t="s">
        <v>671</v>
      </c>
      <c r="F668" t="s">
        <v>267</v>
      </c>
      <c r="G668">
        <v>1</v>
      </c>
    </row>
    <row r="669" spans="1:7" x14ac:dyDescent="0.15">
      <c r="A669">
        <v>50307003</v>
      </c>
      <c r="B669">
        <v>4</v>
      </c>
      <c r="C669">
        <v>140</v>
      </c>
      <c r="D669">
        <v>140</v>
      </c>
      <c r="E669" t="s">
        <v>671</v>
      </c>
      <c r="F669" t="s">
        <v>268</v>
      </c>
      <c r="G669">
        <v>1</v>
      </c>
    </row>
    <row r="670" spans="1:7" x14ac:dyDescent="0.15">
      <c r="A670">
        <v>50307004</v>
      </c>
      <c r="B670">
        <v>5</v>
      </c>
      <c r="C670">
        <v>200</v>
      </c>
      <c r="D670">
        <v>200</v>
      </c>
      <c r="E670" t="s">
        <v>671</v>
      </c>
      <c r="F670" t="s">
        <v>268</v>
      </c>
      <c r="G670">
        <v>1</v>
      </c>
    </row>
    <row r="671" spans="1:7" x14ac:dyDescent="0.15">
      <c r="A671">
        <v>50308003</v>
      </c>
      <c r="B671">
        <v>4</v>
      </c>
      <c r="C671">
        <v>140</v>
      </c>
      <c r="D671">
        <v>140</v>
      </c>
      <c r="E671" t="s">
        <v>269</v>
      </c>
      <c r="F671" t="s">
        <v>270</v>
      </c>
      <c r="G671">
        <v>1</v>
      </c>
    </row>
    <row r="672" spans="1:7" x14ac:dyDescent="0.15">
      <c r="A672">
        <v>50308004</v>
      </c>
      <c r="B672">
        <v>5</v>
      </c>
      <c r="C672">
        <v>200</v>
      </c>
      <c r="D672">
        <v>200</v>
      </c>
      <c r="E672" t="s">
        <v>269</v>
      </c>
      <c r="F672" t="s">
        <v>271</v>
      </c>
      <c r="G672">
        <v>1</v>
      </c>
    </row>
    <row r="673" spans="1:7" x14ac:dyDescent="0.15">
      <c r="A673">
        <v>50309000</v>
      </c>
      <c r="B673">
        <v>1</v>
      </c>
      <c r="C673">
        <v>20</v>
      </c>
      <c r="D673">
        <v>20</v>
      </c>
      <c r="E673" t="s">
        <v>272</v>
      </c>
      <c r="F673" t="s">
        <v>273</v>
      </c>
      <c r="G673">
        <v>1</v>
      </c>
    </row>
    <row r="674" spans="1:7" x14ac:dyDescent="0.15">
      <c r="A674">
        <v>50309001</v>
      </c>
      <c r="B674">
        <v>2</v>
      </c>
      <c r="C674">
        <v>60</v>
      </c>
      <c r="D674">
        <v>60</v>
      </c>
      <c r="E674" t="s">
        <v>272</v>
      </c>
      <c r="F674" t="s">
        <v>274</v>
      </c>
      <c r="G674">
        <v>1</v>
      </c>
    </row>
    <row r="675" spans="1:7" x14ac:dyDescent="0.15">
      <c r="A675">
        <v>50309002</v>
      </c>
      <c r="B675">
        <v>1</v>
      </c>
      <c r="C675">
        <v>100</v>
      </c>
      <c r="D675">
        <v>100</v>
      </c>
      <c r="E675" t="s">
        <v>272</v>
      </c>
      <c r="F675" t="s">
        <v>275</v>
      </c>
      <c r="G675">
        <v>1</v>
      </c>
    </row>
    <row r="676" spans="1:7" x14ac:dyDescent="0.15">
      <c r="A676">
        <v>50309003</v>
      </c>
      <c r="B676">
        <v>4</v>
      </c>
      <c r="C676">
        <v>140</v>
      </c>
      <c r="D676">
        <v>140</v>
      </c>
      <c r="E676" t="s">
        <v>272</v>
      </c>
      <c r="F676" t="s">
        <v>276</v>
      </c>
      <c r="G676">
        <v>1</v>
      </c>
    </row>
    <row r="677" spans="1:7" x14ac:dyDescent="0.15">
      <c r="A677">
        <v>50309004</v>
      </c>
      <c r="B677">
        <v>5</v>
      </c>
      <c r="C677">
        <v>200</v>
      </c>
      <c r="D677">
        <v>200</v>
      </c>
      <c r="E677" t="s">
        <v>272</v>
      </c>
      <c r="F677" t="s">
        <v>277</v>
      </c>
      <c r="G677">
        <v>1</v>
      </c>
    </row>
    <row r="678" spans="1:7" x14ac:dyDescent="0.15">
      <c r="A678">
        <v>50310002</v>
      </c>
      <c r="B678">
        <v>1</v>
      </c>
      <c r="C678">
        <v>100</v>
      </c>
      <c r="D678">
        <v>100</v>
      </c>
      <c r="E678" t="s">
        <v>278</v>
      </c>
      <c r="F678" t="s">
        <v>279</v>
      </c>
      <c r="G678">
        <v>1</v>
      </c>
    </row>
    <row r="679" spans="1:7" x14ac:dyDescent="0.15">
      <c r="A679">
        <v>50310003</v>
      </c>
      <c r="B679">
        <v>4</v>
      </c>
      <c r="C679">
        <v>140</v>
      </c>
      <c r="D679">
        <v>140</v>
      </c>
      <c r="E679" t="s">
        <v>278</v>
      </c>
      <c r="F679" t="s">
        <v>280</v>
      </c>
      <c r="G679">
        <v>1</v>
      </c>
    </row>
    <row r="680" spans="1:7" x14ac:dyDescent="0.15">
      <c r="A680">
        <v>50310004</v>
      </c>
      <c r="B680">
        <v>5</v>
      </c>
      <c r="C680">
        <v>200</v>
      </c>
      <c r="D680">
        <v>200</v>
      </c>
      <c r="E680" t="s">
        <v>278</v>
      </c>
      <c r="F680" t="s">
        <v>281</v>
      </c>
      <c r="G680">
        <v>1</v>
      </c>
    </row>
    <row r="681" spans="1:7" x14ac:dyDescent="0.15">
      <c r="A681">
        <v>50311002</v>
      </c>
      <c r="B681">
        <v>1</v>
      </c>
      <c r="C681">
        <v>100</v>
      </c>
      <c r="D681">
        <v>100</v>
      </c>
      <c r="E681" t="s">
        <v>672</v>
      </c>
      <c r="F681" t="s">
        <v>282</v>
      </c>
      <c r="G681">
        <v>1</v>
      </c>
    </row>
    <row r="682" spans="1:7" x14ac:dyDescent="0.15">
      <c r="A682">
        <v>50311003</v>
      </c>
      <c r="B682">
        <v>4</v>
      </c>
      <c r="C682">
        <v>140</v>
      </c>
      <c r="D682">
        <v>140</v>
      </c>
      <c r="E682" t="s">
        <v>672</v>
      </c>
      <c r="F682" t="s">
        <v>283</v>
      </c>
      <c r="G682">
        <v>1</v>
      </c>
    </row>
    <row r="683" spans="1:7" x14ac:dyDescent="0.15">
      <c r="A683">
        <v>50311004</v>
      </c>
      <c r="B683">
        <v>5</v>
      </c>
      <c r="C683">
        <v>200</v>
      </c>
      <c r="D683">
        <v>200</v>
      </c>
      <c r="E683" t="s">
        <v>672</v>
      </c>
      <c r="F683" t="s">
        <v>284</v>
      </c>
      <c r="G683">
        <v>1</v>
      </c>
    </row>
    <row r="684" spans="1:7" x14ac:dyDescent="0.15">
      <c r="A684">
        <v>50312002</v>
      </c>
      <c r="B684">
        <v>1</v>
      </c>
      <c r="C684">
        <v>100</v>
      </c>
      <c r="D684">
        <v>100</v>
      </c>
      <c r="E684" t="s">
        <v>285</v>
      </c>
      <c r="F684" t="s">
        <v>286</v>
      </c>
      <c r="G684">
        <v>1</v>
      </c>
    </row>
    <row r="685" spans="1:7" x14ac:dyDescent="0.15">
      <c r="A685">
        <v>50312004</v>
      </c>
      <c r="B685">
        <v>5</v>
      </c>
      <c r="C685">
        <v>200</v>
      </c>
      <c r="D685">
        <v>200</v>
      </c>
      <c r="E685" t="s">
        <v>285</v>
      </c>
      <c r="F685" t="s">
        <v>673</v>
      </c>
      <c r="G685">
        <v>1</v>
      </c>
    </row>
    <row r="686" spans="1:7" x14ac:dyDescent="0.15">
      <c r="A686">
        <v>50313003</v>
      </c>
      <c r="B686">
        <v>4</v>
      </c>
      <c r="C686">
        <v>140</v>
      </c>
      <c r="D686">
        <v>140</v>
      </c>
      <c r="E686" t="s">
        <v>287</v>
      </c>
      <c r="F686" t="s">
        <v>674</v>
      </c>
      <c r="G686">
        <v>1</v>
      </c>
    </row>
    <row r="687" spans="1:7" x14ac:dyDescent="0.15">
      <c r="A687">
        <v>50313004</v>
      </c>
      <c r="B687">
        <v>5</v>
      </c>
      <c r="C687">
        <v>200</v>
      </c>
      <c r="D687">
        <v>200</v>
      </c>
      <c r="E687" t="s">
        <v>287</v>
      </c>
      <c r="F687" t="s">
        <v>675</v>
      </c>
      <c r="G687">
        <v>1</v>
      </c>
    </row>
    <row r="688" spans="1:7" x14ac:dyDescent="0.15">
      <c r="A688">
        <v>50314002</v>
      </c>
      <c r="B688">
        <v>1</v>
      </c>
      <c r="C688">
        <v>100</v>
      </c>
      <c r="D688">
        <v>100</v>
      </c>
      <c r="E688" t="s">
        <v>288</v>
      </c>
      <c r="F688" t="s">
        <v>676</v>
      </c>
      <c r="G688">
        <v>1</v>
      </c>
    </row>
    <row r="689" spans="1:7" x14ac:dyDescent="0.15">
      <c r="A689">
        <v>50314003</v>
      </c>
      <c r="B689">
        <v>4</v>
      </c>
      <c r="C689">
        <v>140</v>
      </c>
      <c r="D689">
        <v>140</v>
      </c>
      <c r="E689" t="s">
        <v>288</v>
      </c>
      <c r="F689" t="s">
        <v>677</v>
      </c>
      <c r="G689">
        <v>1</v>
      </c>
    </row>
    <row r="690" spans="1:7" x14ac:dyDescent="0.15">
      <c r="A690">
        <v>50314004</v>
      </c>
      <c r="B690">
        <v>5</v>
      </c>
      <c r="C690">
        <v>200</v>
      </c>
      <c r="D690">
        <v>200</v>
      </c>
      <c r="E690" t="s">
        <v>288</v>
      </c>
      <c r="F690" t="s">
        <v>289</v>
      </c>
      <c r="G690">
        <v>1</v>
      </c>
    </row>
    <row r="691" spans="1:7" x14ac:dyDescent="0.15">
      <c r="A691">
        <v>50315002</v>
      </c>
      <c r="B691">
        <v>1</v>
      </c>
      <c r="C691">
        <v>100</v>
      </c>
      <c r="D691">
        <v>100</v>
      </c>
      <c r="E691" t="s">
        <v>290</v>
      </c>
      <c r="F691" t="s">
        <v>678</v>
      </c>
      <c r="G691">
        <v>1</v>
      </c>
    </row>
    <row r="692" spans="1:7" x14ac:dyDescent="0.15">
      <c r="A692">
        <v>50315003</v>
      </c>
      <c r="B692">
        <v>4</v>
      </c>
      <c r="C692">
        <v>140</v>
      </c>
      <c r="D692">
        <v>140</v>
      </c>
      <c r="E692" t="s">
        <v>290</v>
      </c>
      <c r="F692" t="s">
        <v>679</v>
      </c>
      <c r="G692">
        <v>1</v>
      </c>
    </row>
    <row r="693" spans="1:7" x14ac:dyDescent="0.15">
      <c r="A693">
        <v>50315004</v>
      </c>
      <c r="B693">
        <v>5</v>
      </c>
      <c r="C693">
        <v>200</v>
      </c>
      <c r="D693">
        <v>200</v>
      </c>
      <c r="E693" t="s">
        <v>290</v>
      </c>
      <c r="F693" t="s">
        <v>291</v>
      </c>
      <c r="G693">
        <v>1</v>
      </c>
    </row>
    <row r="694" spans="1:7" x14ac:dyDescent="0.15">
      <c r="A694">
        <v>50316003</v>
      </c>
      <c r="B694">
        <v>4</v>
      </c>
      <c r="C694">
        <v>140</v>
      </c>
      <c r="D694">
        <v>140</v>
      </c>
      <c r="E694" t="s">
        <v>292</v>
      </c>
      <c r="F694" t="s">
        <v>293</v>
      </c>
      <c r="G694">
        <v>1</v>
      </c>
    </row>
    <row r="695" spans="1:7" x14ac:dyDescent="0.15">
      <c r="A695">
        <v>50316004</v>
      </c>
      <c r="B695">
        <v>5</v>
      </c>
      <c r="C695">
        <v>200</v>
      </c>
      <c r="D695">
        <v>200</v>
      </c>
      <c r="E695" t="s">
        <v>292</v>
      </c>
      <c r="F695" t="s">
        <v>294</v>
      </c>
      <c r="G695">
        <v>1</v>
      </c>
    </row>
    <row r="696" spans="1:7" x14ac:dyDescent="0.15">
      <c r="A696">
        <v>50400001</v>
      </c>
      <c r="B696">
        <v>2</v>
      </c>
      <c r="C696">
        <v>60</v>
      </c>
      <c r="D696">
        <v>60</v>
      </c>
      <c r="E696" t="s">
        <v>162</v>
      </c>
      <c r="G696">
        <v>0</v>
      </c>
    </row>
    <row r="697" spans="1:7" x14ac:dyDescent="0.15">
      <c r="A697">
        <v>50400002</v>
      </c>
      <c r="B697">
        <v>2</v>
      </c>
      <c r="C697">
        <v>60</v>
      </c>
      <c r="D697">
        <v>60</v>
      </c>
      <c r="E697" t="s">
        <v>163</v>
      </c>
      <c r="G697">
        <v>0</v>
      </c>
    </row>
    <row r="698" spans="1:7" x14ac:dyDescent="0.15">
      <c r="A698">
        <v>50400003</v>
      </c>
      <c r="B698">
        <v>2</v>
      </c>
      <c r="C698">
        <v>60</v>
      </c>
      <c r="D698">
        <v>60</v>
      </c>
      <c r="E698" t="s">
        <v>164</v>
      </c>
      <c r="G698">
        <v>0</v>
      </c>
    </row>
    <row r="699" spans="1:7" x14ac:dyDescent="0.15">
      <c r="A699">
        <v>50400004</v>
      </c>
      <c r="B699">
        <v>2</v>
      </c>
      <c r="C699">
        <v>60</v>
      </c>
      <c r="D699">
        <v>60</v>
      </c>
      <c r="E699" t="s">
        <v>165</v>
      </c>
      <c r="G699">
        <v>0</v>
      </c>
    </row>
    <row r="700" spans="1:7" x14ac:dyDescent="0.15">
      <c r="A700">
        <v>50010101</v>
      </c>
      <c r="B700">
        <v>1</v>
      </c>
      <c r="C700">
        <v>60</v>
      </c>
      <c r="D700">
        <v>60</v>
      </c>
      <c r="E700" t="s">
        <v>191</v>
      </c>
      <c r="F700" t="s">
        <v>680</v>
      </c>
      <c r="G700">
        <v>0</v>
      </c>
    </row>
    <row r="701" spans="1:7" x14ac:dyDescent="0.15">
      <c r="A701">
        <v>50011101</v>
      </c>
      <c r="B701">
        <v>1</v>
      </c>
      <c r="C701">
        <v>60</v>
      </c>
      <c r="D701">
        <v>60</v>
      </c>
      <c r="E701" t="s">
        <v>681</v>
      </c>
      <c r="F701" t="s">
        <v>682</v>
      </c>
      <c r="G701">
        <v>0</v>
      </c>
    </row>
    <row r="702" spans="1:7" x14ac:dyDescent="0.15">
      <c r="A702">
        <v>50012101</v>
      </c>
      <c r="B702">
        <v>1</v>
      </c>
      <c r="C702">
        <v>60</v>
      </c>
      <c r="D702">
        <v>60</v>
      </c>
      <c r="E702" t="s">
        <v>683</v>
      </c>
      <c r="F702" t="s">
        <v>684</v>
      </c>
      <c r="G702">
        <v>0</v>
      </c>
    </row>
    <row r="703" spans="1:7" x14ac:dyDescent="0.15">
      <c r="A703">
        <v>50013101</v>
      </c>
      <c r="B703">
        <v>1</v>
      </c>
      <c r="C703">
        <v>60</v>
      </c>
      <c r="D703">
        <v>60</v>
      </c>
      <c r="E703" t="s">
        <v>186</v>
      </c>
      <c r="F703" t="s">
        <v>685</v>
      </c>
      <c r="G703">
        <v>0</v>
      </c>
    </row>
    <row r="704" spans="1:7" x14ac:dyDescent="0.15">
      <c r="A704">
        <v>50014101</v>
      </c>
      <c r="B704">
        <v>1</v>
      </c>
      <c r="C704">
        <v>60</v>
      </c>
      <c r="D704">
        <v>60</v>
      </c>
      <c r="E704" t="s">
        <v>686</v>
      </c>
      <c r="F704" t="s">
        <v>687</v>
      </c>
      <c r="G704">
        <v>0</v>
      </c>
    </row>
    <row r="705" spans="1:7" x14ac:dyDescent="0.15">
      <c r="A705">
        <v>50015101</v>
      </c>
      <c r="B705">
        <v>1</v>
      </c>
      <c r="C705">
        <v>60</v>
      </c>
      <c r="D705">
        <v>60</v>
      </c>
      <c r="E705" t="s">
        <v>254</v>
      </c>
      <c r="F705" t="s">
        <v>688</v>
      </c>
      <c r="G705">
        <v>0</v>
      </c>
    </row>
    <row r="706" spans="1:7" x14ac:dyDescent="0.15">
      <c r="A706">
        <v>50016101</v>
      </c>
      <c r="B706">
        <v>1</v>
      </c>
      <c r="C706">
        <v>60</v>
      </c>
      <c r="D706">
        <v>60</v>
      </c>
      <c r="E706" t="s">
        <v>689</v>
      </c>
      <c r="F706" t="s">
        <v>690</v>
      </c>
      <c r="G706">
        <v>0</v>
      </c>
    </row>
    <row r="707" spans="1:7" x14ac:dyDescent="0.15">
      <c r="A707">
        <v>50017101</v>
      </c>
      <c r="B707">
        <v>1</v>
      </c>
      <c r="C707">
        <v>60</v>
      </c>
      <c r="D707">
        <v>60</v>
      </c>
      <c r="E707" t="s">
        <v>691</v>
      </c>
      <c r="F707" t="s">
        <v>692</v>
      </c>
      <c r="G707">
        <v>0</v>
      </c>
    </row>
    <row r="708" spans="1:7" x14ac:dyDescent="0.15">
      <c r="A708">
        <v>50018101</v>
      </c>
      <c r="B708">
        <v>1</v>
      </c>
      <c r="C708">
        <v>60</v>
      </c>
      <c r="D708">
        <v>60</v>
      </c>
      <c r="E708" t="s">
        <v>693</v>
      </c>
      <c r="F708" t="s">
        <v>694</v>
      </c>
      <c r="G708">
        <v>0</v>
      </c>
    </row>
    <row r="709" spans="1:7" x14ac:dyDescent="0.15">
      <c r="A709">
        <v>50019101</v>
      </c>
      <c r="B709">
        <v>1</v>
      </c>
      <c r="C709">
        <v>60</v>
      </c>
      <c r="D709">
        <v>60</v>
      </c>
      <c r="E709" t="s">
        <v>695</v>
      </c>
      <c r="F709" t="s">
        <v>696</v>
      </c>
      <c r="G709">
        <v>0</v>
      </c>
    </row>
    <row r="710" spans="1:7" x14ac:dyDescent="0.15">
      <c r="A710">
        <v>50020101</v>
      </c>
      <c r="B710">
        <v>1</v>
      </c>
      <c r="C710">
        <v>60</v>
      </c>
      <c r="D710">
        <v>60</v>
      </c>
      <c r="E710" t="s">
        <v>697</v>
      </c>
      <c r="F710" t="s">
        <v>698</v>
      </c>
      <c r="G710">
        <v>0</v>
      </c>
    </row>
    <row r="711" spans="1:7" x14ac:dyDescent="0.15">
      <c r="A711">
        <v>50021101</v>
      </c>
      <c r="B711">
        <v>1</v>
      </c>
      <c r="C711">
        <v>60</v>
      </c>
      <c r="D711">
        <v>60</v>
      </c>
      <c r="E711" t="s">
        <v>192</v>
      </c>
      <c r="F711" t="s">
        <v>699</v>
      </c>
      <c r="G711">
        <v>0</v>
      </c>
    </row>
    <row r="712" spans="1:7" x14ac:dyDescent="0.15">
      <c r="A712">
        <v>50022101</v>
      </c>
      <c r="B712">
        <v>1</v>
      </c>
      <c r="C712">
        <v>60</v>
      </c>
      <c r="D712">
        <v>60</v>
      </c>
      <c r="E712" t="s">
        <v>700</v>
      </c>
      <c r="F712" t="s">
        <v>701</v>
      </c>
      <c r="G712">
        <v>0</v>
      </c>
    </row>
    <row r="713" spans="1:7" x14ac:dyDescent="0.15">
      <c r="A713">
        <v>50023101</v>
      </c>
      <c r="B713">
        <v>1</v>
      </c>
      <c r="C713">
        <v>60</v>
      </c>
      <c r="D713">
        <v>60</v>
      </c>
      <c r="E713" t="s">
        <v>702</v>
      </c>
      <c r="F713" t="s">
        <v>703</v>
      </c>
      <c r="G713">
        <v>0</v>
      </c>
    </row>
    <row r="714" spans="1:7" x14ac:dyDescent="0.15">
      <c r="A714">
        <v>50024101</v>
      </c>
      <c r="B714">
        <v>1</v>
      </c>
      <c r="C714">
        <v>60</v>
      </c>
      <c r="D714">
        <v>60</v>
      </c>
      <c r="E714" t="s">
        <v>704</v>
      </c>
      <c r="F714" t="s">
        <v>705</v>
      </c>
      <c r="G714">
        <v>0</v>
      </c>
    </row>
    <row r="715" spans="1:7" x14ac:dyDescent="0.15">
      <c r="A715">
        <v>50025101</v>
      </c>
      <c r="B715">
        <v>1</v>
      </c>
      <c r="C715">
        <v>60</v>
      </c>
      <c r="D715">
        <v>60</v>
      </c>
      <c r="E715" t="s">
        <v>706</v>
      </c>
      <c r="F715" t="s">
        <v>707</v>
      </c>
      <c r="G715">
        <v>0</v>
      </c>
    </row>
    <row r="716" spans="1:7" x14ac:dyDescent="0.15">
      <c r="A716">
        <v>50026101</v>
      </c>
      <c r="B716">
        <v>1</v>
      </c>
      <c r="C716">
        <v>60</v>
      </c>
      <c r="D716">
        <v>60</v>
      </c>
      <c r="E716" t="s">
        <v>708</v>
      </c>
      <c r="F716" t="s">
        <v>709</v>
      </c>
      <c r="G716">
        <v>0</v>
      </c>
    </row>
    <row r="717" spans="1:7" x14ac:dyDescent="0.15">
      <c r="A717">
        <v>50027101</v>
      </c>
      <c r="B717">
        <v>1</v>
      </c>
      <c r="C717">
        <v>60</v>
      </c>
      <c r="D717">
        <v>60</v>
      </c>
      <c r="E717" t="s">
        <v>710</v>
      </c>
      <c r="F717" t="s">
        <v>711</v>
      </c>
      <c r="G717">
        <v>0</v>
      </c>
    </row>
    <row r="718" spans="1:7" x14ac:dyDescent="0.15">
      <c r="A718">
        <v>50028101</v>
      </c>
      <c r="B718">
        <v>1</v>
      </c>
      <c r="C718">
        <v>60</v>
      </c>
      <c r="D718">
        <v>60</v>
      </c>
      <c r="E718" t="s">
        <v>712</v>
      </c>
      <c r="F718" t="s">
        <v>713</v>
      </c>
      <c r="G718">
        <v>0</v>
      </c>
    </row>
    <row r="719" spans="1:7" x14ac:dyDescent="0.15">
      <c r="A719">
        <v>50029101</v>
      </c>
      <c r="B719">
        <v>1</v>
      </c>
      <c r="C719">
        <v>60</v>
      </c>
      <c r="D719">
        <v>60</v>
      </c>
      <c r="E719" t="s">
        <v>714</v>
      </c>
      <c r="F719" t="s">
        <v>715</v>
      </c>
      <c r="G719">
        <v>0</v>
      </c>
    </row>
    <row r="720" spans="1:7" x14ac:dyDescent="0.15">
      <c r="A720">
        <v>50030101</v>
      </c>
      <c r="B720">
        <v>1</v>
      </c>
      <c r="C720">
        <v>60</v>
      </c>
      <c r="D720">
        <v>60</v>
      </c>
      <c r="E720" t="s">
        <v>716</v>
      </c>
      <c r="F720" t="s">
        <v>717</v>
      </c>
      <c r="G720">
        <v>0</v>
      </c>
    </row>
    <row r="721" spans="1:7" x14ac:dyDescent="0.15">
      <c r="A721">
        <v>50031101</v>
      </c>
      <c r="B721">
        <v>1</v>
      </c>
      <c r="C721">
        <v>60</v>
      </c>
      <c r="D721">
        <v>60</v>
      </c>
      <c r="E721" t="s">
        <v>166</v>
      </c>
      <c r="F721" t="s">
        <v>718</v>
      </c>
      <c r="G721">
        <v>0</v>
      </c>
    </row>
    <row r="722" spans="1:7" x14ac:dyDescent="0.15">
      <c r="A722">
        <v>50032101</v>
      </c>
      <c r="B722">
        <v>1</v>
      </c>
      <c r="C722">
        <v>60</v>
      </c>
      <c r="D722">
        <v>60</v>
      </c>
      <c r="E722" t="s">
        <v>719</v>
      </c>
      <c r="F722" t="s">
        <v>718</v>
      </c>
      <c r="G722">
        <v>0</v>
      </c>
    </row>
    <row r="723" spans="1:7" x14ac:dyDescent="0.15">
      <c r="A723">
        <v>55001001</v>
      </c>
      <c r="B723">
        <v>1</v>
      </c>
      <c r="C723">
        <v>60</v>
      </c>
      <c r="D723">
        <v>60</v>
      </c>
      <c r="E723" t="s">
        <v>175</v>
      </c>
      <c r="F723" t="s">
        <v>720</v>
      </c>
      <c r="G723">
        <v>0</v>
      </c>
    </row>
    <row r="724" spans="1:7" x14ac:dyDescent="0.15">
      <c r="A724">
        <v>55001011</v>
      </c>
      <c r="B724">
        <v>1</v>
      </c>
      <c r="C724">
        <v>60</v>
      </c>
      <c r="D724">
        <v>60</v>
      </c>
      <c r="E724" t="s">
        <v>721</v>
      </c>
      <c r="F724" t="s">
        <v>722</v>
      </c>
      <c r="G724">
        <v>0</v>
      </c>
    </row>
    <row r="725" spans="1:7" x14ac:dyDescent="0.15">
      <c r="A725">
        <v>55001021</v>
      </c>
      <c r="B725">
        <v>1</v>
      </c>
      <c r="C725">
        <v>60</v>
      </c>
      <c r="D725">
        <v>60</v>
      </c>
      <c r="E725" t="s">
        <v>723</v>
      </c>
      <c r="F725" t="s">
        <v>724</v>
      </c>
      <c r="G725">
        <v>0</v>
      </c>
    </row>
    <row r="726" spans="1:7" x14ac:dyDescent="0.15">
      <c r="A726">
        <v>55002001</v>
      </c>
      <c r="B726">
        <v>1</v>
      </c>
      <c r="C726">
        <v>60</v>
      </c>
      <c r="D726">
        <v>60</v>
      </c>
      <c r="E726" t="s">
        <v>725</v>
      </c>
      <c r="F726" t="s">
        <v>726</v>
      </c>
      <c r="G726">
        <v>0</v>
      </c>
    </row>
    <row r="727" spans="1:7" x14ac:dyDescent="0.15">
      <c r="A727">
        <v>55002011</v>
      </c>
      <c r="B727">
        <v>1</v>
      </c>
      <c r="C727">
        <v>60</v>
      </c>
      <c r="D727">
        <v>60</v>
      </c>
      <c r="E727" t="s">
        <v>727</v>
      </c>
      <c r="F727" t="s">
        <v>728</v>
      </c>
      <c r="G727">
        <v>0</v>
      </c>
    </row>
    <row r="728" spans="1:7" x14ac:dyDescent="0.15">
      <c r="A728">
        <v>55002021</v>
      </c>
      <c r="B728">
        <v>1</v>
      </c>
      <c r="C728">
        <v>60</v>
      </c>
      <c r="D728">
        <v>60</v>
      </c>
      <c r="E728" t="s">
        <v>729</v>
      </c>
      <c r="F728" t="s">
        <v>730</v>
      </c>
      <c r="G728">
        <v>0</v>
      </c>
    </row>
    <row r="729" spans="1:7" x14ac:dyDescent="0.15">
      <c r="A729">
        <v>50501001</v>
      </c>
      <c r="B729">
        <v>1</v>
      </c>
      <c r="C729">
        <v>60</v>
      </c>
      <c r="D729">
        <v>60</v>
      </c>
      <c r="E729" t="s">
        <v>731</v>
      </c>
      <c r="F729" t="s">
        <v>732</v>
      </c>
      <c r="G729">
        <v>0</v>
      </c>
    </row>
    <row r="730" spans="1:7" x14ac:dyDescent="0.15">
      <c r="A730">
        <v>40100101</v>
      </c>
      <c r="B730">
        <v>2</v>
      </c>
      <c r="C730">
        <v>100</v>
      </c>
      <c r="D730">
        <v>100</v>
      </c>
      <c r="E730" t="s">
        <v>733</v>
      </c>
      <c r="F730" t="s">
        <v>300</v>
      </c>
      <c r="G730">
        <v>0</v>
      </c>
    </row>
    <row r="731" spans="1:7" x14ac:dyDescent="0.15">
      <c r="A731">
        <v>40101001</v>
      </c>
      <c r="B731">
        <v>2</v>
      </c>
      <c r="C731">
        <v>80</v>
      </c>
      <c r="D731">
        <v>80</v>
      </c>
      <c r="E731" t="s">
        <v>295</v>
      </c>
      <c r="F731" t="s">
        <v>296</v>
      </c>
      <c r="G731">
        <v>1</v>
      </c>
    </row>
    <row r="732" spans="1:7" x14ac:dyDescent="0.15">
      <c r="A732">
        <v>40101002</v>
      </c>
      <c r="B732">
        <v>3</v>
      </c>
      <c r="C732">
        <v>120</v>
      </c>
      <c r="D732">
        <v>120</v>
      </c>
      <c r="E732" t="s">
        <v>295</v>
      </c>
      <c r="F732" t="s">
        <v>296</v>
      </c>
      <c r="G732">
        <v>1</v>
      </c>
    </row>
    <row r="733" spans="1:7" x14ac:dyDescent="0.15">
      <c r="A733">
        <v>40101003</v>
      </c>
      <c r="B733">
        <v>4</v>
      </c>
      <c r="C733">
        <v>170</v>
      </c>
      <c r="D733">
        <v>170</v>
      </c>
      <c r="E733" t="s">
        <v>295</v>
      </c>
      <c r="F733" t="s">
        <v>297</v>
      </c>
      <c r="G733">
        <v>1</v>
      </c>
    </row>
    <row r="734" spans="1:7" x14ac:dyDescent="0.15">
      <c r="A734">
        <v>40101004</v>
      </c>
      <c r="B734">
        <v>5</v>
      </c>
      <c r="C734">
        <v>230</v>
      </c>
      <c r="D734">
        <v>230</v>
      </c>
      <c r="E734" t="s">
        <v>295</v>
      </c>
      <c r="F734" t="s">
        <v>297</v>
      </c>
      <c r="G734">
        <v>1</v>
      </c>
    </row>
    <row r="735" spans="1:7" x14ac:dyDescent="0.15">
      <c r="A735">
        <v>40101005</v>
      </c>
      <c r="B735">
        <v>1</v>
      </c>
      <c r="C735">
        <v>40</v>
      </c>
      <c r="D735">
        <v>40</v>
      </c>
      <c r="E735" t="s">
        <v>295</v>
      </c>
      <c r="F735" t="s">
        <v>297</v>
      </c>
      <c r="G735">
        <v>1</v>
      </c>
    </row>
    <row r="736" spans="1:7" x14ac:dyDescent="0.15">
      <c r="A736">
        <v>40102001</v>
      </c>
      <c r="B736">
        <v>2</v>
      </c>
      <c r="C736">
        <v>80</v>
      </c>
      <c r="D736">
        <v>80</v>
      </c>
      <c r="E736" t="s">
        <v>734</v>
      </c>
      <c r="F736" t="s">
        <v>298</v>
      </c>
      <c r="G736">
        <v>1</v>
      </c>
    </row>
    <row r="737" spans="1:7" x14ac:dyDescent="0.15">
      <c r="A737">
        <v>40102002</v>
      </c>
      <c r="B737">
        <v>3</v>
      </c>
      <c r="C737">
        <v>120</v>
      </c>
      <c r="D737">
        <v>120</v>
      </c>
      <c r="E737" t="s">
        <v>734</v>
      </c>
      <c r="F737" t="s">
        <v>298</v>
      </c>
      <c r="G737">
        <v>1</v>
      </c>
    </row>
    <row r="738" spans="1:7" x14ac:dyDescent="0.15">
      <c r="A738">
        <v>40102003</v>
      </c>
      <c r="B738">
        <v>4</v>
      </c>
      <c r="C738">
        <v>170</v>
      </c>
      <c r="D738">
        <v>170</v>
      </c>
      <c r="E738" t="s">
        <v>734</v>
      </c>
      <c r="F738" t="s">
        <v>298</v>
      </c>
      <c r="G738">
        <v>1</v>
      </c>
    </row>
    <row r="739" spans="1:7" x14ac:dyDescent="0.15">
      <c r="A739">
        <v>40102004</v>
      </c>
      <c r="B739">
        <v>5</v>
      </c>
      <c r="C739">
        <v>230</v>
      </c>
      <c r="D739">
        <v>230</v>
      </c>
      <c r="E739" t="s">
        <v>734</v>
      </c>
      <c r="F739" t="s">
        <v>298</v>
      </c>
      <c r="G739">
        <v>1</v>
      </c>
    </row>
    <row r="740" spans="1:7" x14ac:dyDescent="0.15">
      <c r="A740">
        <v>40102005</v>
      </c>
      <c r="B740">
        <v>1</v>
      </c>
      <c r="C740">
        <v>40</v>
      </c>
      <c r="D740">
        <v>40</v>
      </c>
      <c r="E740" t="s">
        <v>734</v>
      </c>
      <c r="F740" t="s">
        <v>298</v>
      </c>
      <c r="G740">
        <v>1</v>
      </c>
    </row>
    <row r="741" spans="1:7" x14ac:dyDescent="0.15">
      <c r="A741">
        <v>40103001</v>
      </c>
      <c r="B741">
        <v>2</v>
      </c>
      <c r="C741">
        <v>80</v>
      </c>
      <c r="D741">
        <v>80</v>
      </c>
      <c r="E741" t="s">
        <v>735</v>
      </c>
      <c r="F741" t="s">
        <v>299</v>
      </c>
      <c r="G741">
        <v>1</v>
      </c>
    </row>
    <row r="742" spans="1:7" x14ac:dyDescent="0.15">
      <c r="A742">
        <v>40103002</v>
      </c>
      <c r="B742">
        <v>3</v>
      </c>
      <c r="C742">
        <v>120</v>
      </c>
      <c r="D742">
        <v>120</v>
      </c>
      <c r="E742" t="s">
        <v>735</v>
      </c>
      <c r="F742" t="s">
        <v>299</v>
      </c>
      <c r="G742">
        <v>1</v>
      </c>
    </row>
    <row r="743" spans="1:7" x14ac:dyDescent="0.15">
      <c r="A743">
        <v>40103003</v>
      </c>
      <c r="B743">
        <v>4</v>
      </c>
      <c r="C743">
        <v>170</v>
      </c>
      <c r="D743">
        <v>170</v>
      </c>
      <c r="E743" t="s">
        <v>735</v>
      </c>
      <c r="F743" t="s">
        <v>299</v>
      </c>
      <c r="G743">
        <v>1</v>
      </c>
    </row>
    <row r="744" spans="1:7" x14ac:dyDescent="0.15">
      <c r="A744">
        <v>40103004</v>
      </c>
      <c r="B744">
        <v>5</v>
      </c>
      <c r="C744">
        <v>230</v>
      </c>
      <c r="D744">
        <v>230</v>
      </c>
      <c r="E744" t="s">
        <v>735</v>
      </c>
      <c r="F744" t="s">
        <v>299</v>
      </c>
      <c r="G744">
        <v>1</v>
      </c>
    </row>
    <row r="745" spans="1:7" x14ac:dyDescent="0.15">
      <c r="A745">
        <v>40103005</v>
      </c>
      <c r="B745">
        <v>1</v>
      </c>
      <c r="C745">
        <v>40</v>
      </c>
      <c r="D745">
        <v>40</v>
      </c>
      <c r="E745" t="s">
        <v>735</v>
      </c>
      <c r="F745" t="s">
        <v>299</v>
      </c>
      <c r="G745">
        <v>1</v>
      </c>
    </row>
    <row r="746" spans="1:7" x14ac:dyDescent="0.15">
      <c r="A746">
        <v>40201001</v>
      </c>
      <c r="B746">
        <v>2</v>
      </c>
      <c r="C746">
        <v>80</v>
      </c>
      <c r="D746">
        <v>80</v>
      </c>
      <c r="E746" t="s">
        <v>301</v>
      </c>
      <c r="F746" t="s">
        <v>302</v>
      </c>
      <c r="G746">
        <v>1</v>
      </c>
    </row>
    <row r="747" spans="1:7" x14ac:dyDescent="0.15">
      <c r="A747">
        <v>40201002</v>
      </c>
      <c r="B747">
        <v>3</v>
      </c>
      <c r="C747">
        <v>120</v>
      </c>
      <c r="D747">
        <v>120</v>
      </c>
      <c r="E747" t="s">
        <v>301</v>
      </c>
      <c r="F747" t="s">
        <v>302</v>
      </c>
      <c r="G747">
        <v>1</v>
      </c>
    </row>
    <row r="748" spans="1:7" x14ac:dyDescent="0.15">
      <c r="A748">
        <v>40201003</v>
      </c>
      <c r="B748">
        <v>4</v>
      </c>
      <c r="C748">
        <v>170</v>
      </c>
      <c r="D748">
        <v>170</v>
      </c>
      <c r="E748" t="s">
        <v>301</v>
      </c>
      <c r="F748" t="s">
        <v>302</v>
      </c>
      <c r="G748">
        <v>1</v>
      </c>
    </row>
    <row r="749" spans="1:7" x14ac:dyDescent="0.15">
      <c r="A749">
        <v>40201004</v>
      </c>
      <c r="B749">
        <v>5</v>
      </c>
      <c r="C749">
        <v>230</v>
      </c>
      <c r="D749">
        <v>230</v>
      </c>
      <c r="E749" t="s">
        <v>301</v>
      </c>
      <c r="F749" t="s">
        <v>302</v>
      </c>
      <c r="G749">
        <v>1</v>
      </c>
    </row>
    <row r="750" spans="1:7" x14ac:dyDescent="0.15">
      <c r="A750">
        <v>40201005</v>
      </c>
      <c r="B750">
        <v>1</v>
      </c>
      <c r="C750">
        <v>40</v>
      </c>
      <c r="D750">
        <v>40</v>
      </c>
      <c r="E750" t="s">
        <v>301</v>
      </c>
      <c r="F750" t="s">
        <v>302</v>
      </c>
      <c r="G750">
        <v>1</v>
      </c>
    </row>
    <row r="751" spans="1:7" x14ac:dyDescent="0.15">
      <c r="A751">
        <v>40202001</v>
      </c>
      <c r="B751">
        <v>2</v>
      </c>
      <c r="C751">
        <v>80</v>
      </c>
      <c r="D751">
        <v>80</v>
      </c>
      <c r="E751" t="s">
        <v>736</v>
      </c>
      <c r="F751" t="s">
        <v>303</v>
      </c>
      <c r="G751">
        <v>1</v>
      </c>
    </row>
    <row r="752" spans="1:7" x14ac:dyDescent="0.15">
      <c r="A752">
        <v>40202002</v>
      </c>
      <c r="B752">
        <v>3</v>
      </c>
      <c r="C752">
        <v>120</v>
      </c>
      <c r="D752">
        <v>120</v>
      </c>
      <c r="E752" t="s">
        <v>736</v>
      </c>
      <c r="F752" t="s">
        <v>303</v>
      </c>
      <c r="G752">
        <v>1</v>
      </c>
    </row>
    <row r="753" spans="1:7" x14ac:dyDescent="0.15">
      <c r="A753">
        <v>40202003</v>
      </c>
      <c r="B753">
        <v>4</v>
      </c>
      <c r="C753">
        <v>170</v>
      </c>
      <c r="D753">
        <v>170</v>
      </c>
      <c r="E753" t="s">
        <v>736</v>
      </c>
      <c r="F753" t="s">
        <v>303</v>
      </c>
      <c r="G753">
        <v>1</v>
      </c>
    </row>
    <row r="754" spans="1:7" x14ac:dyDescent="0.15">
      <c r="A754">
        <v>40202004</v>
      </c>
      <c r="B754">
        <v>5</v>
      </c>
      <c r="C754">
        <v>230</v>
      </c>
      <c r="D754">
        <v>230</v>
      </c>
      <c r="E754" t="s">
        <v>736</v>
      </c>
      <c r="F754" t="s">
        <v>303</v>
      </c>
      <c r="G754">
        <v>1</v>
      </c>
    </row>
    <row r="755" spans="1:7" x14ac:dyDescent="0.15">
      <c r="A755">
        <v>40202005</v>
      </c>
      <c r="B755">
        <v>1</v>
      </c>
      <c r="C755">
        <v>40</v>
      </c>
      <c r="D755">
        <v>40</v>
      </c>
      <c r="E755" t="s">
        <v>736</v>
      </c>
      <c r="F755" t="s">
        <v>303</v>
      </c>
      <c r="G755">
        <v>1</v>
      </c>
    </row>
    <row r="756" spans="1:7" x14ac:dyDescent="0.15">
      <c r="A756">
        <v>40203001</v>
      </c>
      <c r="B756">
        <v>2</v>
      </c>
      <c r="C756">
        <v>80</v>
      </c>
      <c r="D756">
        <v>80</v>
      </c>
      <c r="E756" t="s">
        <v>304</v>
      </c>
      <c r="F756" t="s">
        <v>737</v>
      </c>
      <c r="G756">
        <v>1</v>
      </c>
    </row>
    <row r="757" spans="1:7" x14ac:dyDescent="0.15">
      <c r="A757">
        <v>40203002</v>
      </c>
      <c r="B757">
        <v>3</v>
      </c>
      <c r="C757">
        <v>120</v>
      </c>
      <c r="D757">
        <v>120</v>
      </c>
      <c r="E757" t="s">
        <v>304</v>
      </c>
      <c r="F757" t="s">
        <v>737</v>
      </c>
      <c r="G757">
        <v>1</v>
      </c>
    </row>
    <row r="758" spans="1:7" x14ac:dyDescent="0.15">
      <c r="A758">
        <v>40203003</v>
      </c>
      <c r="B758">
        <v>4</v>
      </c>
      <c r="C758">
        <v>170</v>
      </c>
      <c r="D758">
        <v>170</v>
      </c>
      <c r="E758" t="s">
        <v>304</v>
      </c>
      <c r="F758" t="s">
        <v>737</v>
      </c>
      <c r="G758">
        <v>1</v>
      </c>
    </row>
    <row r="759" spans="1:7" x14ac:dyDescent="0.15">
      <c r="A759">
        <v>40203004</v>
      </c>
      <c r="B759">
        <v>5</v>
      </c>
      <c r="C759">
        <v>230</v>
      </c>
      <c r="D759">
        <v>230</v>
      </c>
      <c r="E759" t="s">
        <v>304</v>
      </c>
      <c r="F759" t="s">
        <v>737</v>
      </c>
      <c r="G759">
        <v>1</v>
      </c>
    </row>
    <row r="760" spans="1:7" x14ac:dyDescent="0.15">
      <c r="A760">
        <v>40203005</v>
      </c>
      <c r="B760">
        <v>1</v>
      </c>
      <c r="C760">
        <v>40</v>
      </c>
      <c r="D760">
        <v>40</v>
      </c>
      <c r="E760" t="s">
        <v>304</v>
      </c>
      <c r="F760" t="s">
        <v>737</v>
      </c>
      <c r="G760">
        <v>1</v>
      </c>
    </row>
    <row r="761" spans="1:7" x14ac:dyDescent="0.15">
      <c r="A761">
        <v>40204001</v>
      </c>
      <c r="B761">
        <v>2</v>
      </c>
      <c r="C761">
        <v>80</v>
      </c>
      <c r="D761">
        <v>80</v>
      </c>
      <c r="E761" t="s">
        <v>305</v>
      </c>
      <c r="F761" t="s">
        <v>306</v>
      </c>
      <c r="G761">
        <v>1</v>
      </c>
    </row>
    <row r="762" spans="1:7" x14ac:dyDescent="0.15">
      <c r="A762">
        <v>40204002</v>
      </c>
      <c r="B762">
        <v>3</v>
      </c>
      <c r="C762">
        <v>120</v>
      </c>
      <c r="D762">
        <v>120</v>
      </c>
      <c r="E762" t="s">
        <v>305</v>
      </c>
      <c r="F762" t="s">
        <v>306</v>
      </c>
      <c r="G762">
        <v>1</v>
      </c>
    </row>
    <row r="763" spans="1:7" x14ac:dyDescent="0.15">
      <c r="A763">
        <v>40204003</v>
      </c>
      <c r="B763">
        <v>4</v>
      </c>
      <c r="C763">
        <v>170</v>
      </c>
      <c r="D763">
        <v>170</v>
      </c>
      <c r="E763" t="s">
        <v>305</v>
      </c>
      <c r="F763" t="s">
        <v>306</v>
      </c>
      <c r="G763">
        <v>1</v>
      </c>
    </row>
    <row r="764" spans="1:7" x14ac:dyDescent="0.15">
      <c r="A764">
        <v>40204004</v>
      </c>
      <c r="B764">
        <v>5</v>
      </c>
      <c r="C764">
        <v>230</v>
      </c>
      <c r="D764">
        <v>230</v>
      </c>
      <c r="E764" t="s">
        <v>305</v>
      </c>
      <c r="F764" t="s">
        <v>306</v>
      </c>
      <c r="G764">
        <v>1</v>
      </c>
    </row>
    <row r="765" spans="1:7" x14ac:dyDescent="0.15">
      <c r="A765">
        <v>40204005</v>
      </c>
      <c r="B765">
        <v>1</v>
      </c>
      <c r="C765">
        <v>40</v>
      </c>
      <c r="D765">
        <v>40</v>
      </c>
      <c r="E765" t="s">
        <v>305</v>
      </c>
      <c r="F765" t="s">
        <v>306</v>
      </c>
      <c r="G765">
        <v>1</v>
      </c>
    </row>
    <row r="766" spans="1:7" x14ac:dyDescent="0.15">
      <c r="A766">
        <v>40400001</v>
      </c>
      <c r="B766">
        <v>2</v>
      </c>
      <c r="C766">
        <v>100</v>
      </c>
      <c r="D766">
        <v>100</v>
      </c>
      <c r="E766" t="s">
        <v>307</v>
      </c>
      <c r="F766" t="s">
        <v>308</v>
      </c>
      <c r="G766">
        <v>0</v>
      </c>
    </row>
    <row r="767" spans="1:7" x14ac:dyDescent="0.15">
      <c r="A767">
        <v>40400002</v>
      </c>
      <c r="B767">
        <v>1</v>
      </c>
      <c r="C767">
        <v>40</v>
      </c>
      <c r="D767">
        <v>40</v>
      </c>
      <c r="E767" t="s">
        <v>738</v>
      </c>
      <c r="F767" t="s">
        <v>739</v>
      </c>
      <c r="G767">
        <v>0</v>
      </c>
    </row>
    <row r="768" spans="1:7" x14ac:dyDescent="0.15">
      <c r="A768">
        <v>40400003</v>
      </c>
      <c r="B768">
        <v>5</v>
      </c>
      <c r="C768">
        <v>230</v>
      </c>
      <c r="D768">
        <v>230</v>
      </c>
      <c r="E768" t="s">
        <v>738</v>
      </c>
      <c r="F768" t="s">
        <v>739</v>
      </c>
      <c r="G768">
        <v>0</v>
      </c>
    </row>
    <row r="769" spans="1:7" x14ac:dyDescent="0.15">
      <c r="A769">
        <v>40101201</v>
      </c>
      <c r="B769">
        <v>1</v>
      </c>
      <c r="C769">
        <v>40</v>
      </c>
      <c r="D769">
        <v>40</v>
      </c>
      <c r="E769" t="s">
        <v>295</v>
      </c>
      <c r="F769" t="s">
        <v>297</v>
      </c>
      <c r="G769">
        <v>0</v>
      </c>
    </row>
    <row r="770" spans="1:7" x14ac:dyDescent="0.15">
      <c r="A770">
        <v>40101202</v>
      </c>
      <c r="B770">
        <v>4</v>
      </c>
      <c r="E770" t="s">
        <v>738</v>
      </c>
      <c r="F770" t="s">
        <v>740</v>
      </c>
      <c r="G770">
        <v>0</v>
      </c>
    </row>
    <row r="771" spans="1:7" x14ac:dyDescent="0.15">
      <c r="A771">
        <v>40202201</v>
      </c>
      <c r="B771">
        <v>1</v>
      </c>
      <c r="C771">
        <v>40</v>
      </c>
      <c r="D771">
        <v>40</v>
      </c>
      <c r="E771" t="s">
        <v>736</v>
      </c>
      <c r="F771" t="s">
        <v>303</v>
      </c>
      <c r="G771">
        <v>0</v>
      </c>
    </row>
    <row r="772" spans="1:7" x14ac:dyDescent="0.15">
      <c r="A772">
        <v>40203201</v>
      </c>
      <c r="B772">
        <v>1</v>
      </c>
      <c r="C772">
        <v>40</v>
      </c>
      <c r="D772">
        <v>40</v>
      </c>
      <c r="E772" t="s">
        <v>304</v>
      </c>
      <c r="F772" t="s">
        <v>737</v>
      </c>
      <c r="G772">
        <v>0</v>
      </c>
    </row>
    <row r="773" spans="1:7" x14ac:dyDescent="0.15">
      <c r="A773">
        <v>40204201</v>
      </c>
      <c r="B773">
        <v>1</v>
      </c>
      <c r="C773">
        <v>40</v>
      </c>
      <c r="D773">
        <v>40</v>
      </c>
      <c r="E773" t="s">
        <v>741</v>
      </c>
      <c r="F773" t="s">
        <v>741</v>
      </c>
      <c r="G773">
        <v>0</v>
      </c>
    </row>
    <row r="774" spans="1:7" x14ac:dyDescent="0.15">
      <c r="A774">
        <v>30100001</v>
      </c>
      <c r="B774">
        <v>2</v>
      </c>
      <c r="C774">
        <v>10</v>
      </c>
      <c r="D774">
        <v>10</v>
      </c>
      <c r="E774" t="s">
        <v>742</v>
      </c>
      <c r="F774" t="s">
        <v>320</v>
      </c>
      <c r="G774">
        <v>1</v>
      </c>
    </row>
    <row r="775" spans="1:7" x14ac:dyDescent="0.15">
      <c r="A775">
        <v>30100002</v>
      </c>
      <c r="B775">
        <v>1</v>
      </c>
      <c r="C775">
        <v>20</v>
      </c>
      <c r="D775">
        <v>20</v>
      </c>
      <c r="E775" t="s">
        <v>742</v>
      </c>
      <c r="F775" t="s">
        <v>320</v>
      </c>
      <c r="G775">
        <v>1</v>
      </c>
    </row>
    <row r="776" spans="1:7" x14ac:dyDescent="0.15">
      <c r="A776">
        <v>30100003</v>
      </c>
      <c r="B776">
        <v>4</v>
      </c>
      <c r="C776">
        <v>40</v>
      </c>
      <c r="D776">
        <v>40</v>
      </c>
      <c r="E776" t="s">
        <v>742</v>
      </c>
      <c r="F776" t="s">
        <v>320</v>
      </c>
      <c r="G776">
        <v>1</v>
      </c>
    </row>
    <row r="777" spans="1:7" x14ac:dyDescent="0.15">
      <c r="A777">
        <v>30100004</v>
      </c>
      <c r="B777">
        <v>5</v>
      </c>
      <c r="C777">
        <v>60</v>
      </c>
      <c r="D777">
        <v>60</v>
      </c>
      <c r="E777" t="s">
        <v>742</v>
      </c>
      <c r="F777" t="s">
        <v>320</v>
      </c>
      <c r="G777">
        <v>1</v>
      </c>
    </row>
    <row r="778" spans="1:7" x14ac:dyDescent="0.15">
      <c r="A778">
        <v>30100094</v>
      </c>
      <c r="B778">
        <v>2</v>
      </c>
      <c r="C778">
        <v>10</v>
      </c>
      <c r="D778">
        <v>10</v>
      </c>
      <c r="E778" t="s">
        <v>742</v>
      </c>
      <c r="F778" t="s">
        <v>320</v>
      </c>
      <c r="G778">
        <v>0</v>
      </c>
    </row>
    <row r="779" spans="1:7" x14ac:dyDescent="0.15">
      <c r="A779">
        <v>30100005</v>
      </c>
      <c r="B779">
        <v>2</v>
      </c>
      <c r="C779">
        <v>10</v>
      </c>
      <c r="D779">
        <v>10</v>
      </c>
      <c r="E779" t="s">
        <v>743</v>
      </c>
      <c r="F779" t="s">
        <v>320</v>
      </c>
      <c r="G779">
        <v>1</v>
      </c>
    </row>
    <row r="780" spans="1:7" x14ac:dyDescent="0.15">
      <c r="A780">
        <v>30100006</v>
      </c>
      <c r="B780">
        <v>1</v>
      </c>
      <c r="C780">
        <v>20</v>
      </c>
      <c r="D780">
        <v>20</v>
      </c>
      <c r="E780" t="s">
        <v>743</v>
      </c>
      <c r="F780" t="s">
        <v>320</v>
      </c>
      <c r="G780">
        <v>1</v>
      </c>
    </row>
    <row r="781" spans="1:7" x14ac:dyDescent="0.15">
      <c r="A781">
        <v>30100007</v>
      </c>
      <c r="B781">
        <v>4</v>
      </c>
      <c r="C781">
        <v>40</v>
      </c>
      <c r="D781">
        <v>40</v>
      </c>
      <c r="E781" t="s">
        <v>743</v>
      </c>
      <c r="F781" t="s">
        <v>320</v>
      </c>
      <c r="G781">
        <v>1</v>
      </c>
    </row>
    <row r="782" spans="1:7" x14ac:dyDescent="0.15">
      <c r="A782">
        <v>30100008</v>
      </c>
      <c r="B782">
        <v>5</v>
      </c>
      <c r="C782">
        <v>60</v>
      </c>
      <c r="D782">
        <v>60</v>
      </c>
      <c r="E782" t="s">
        <v>743</v>
      </c>
      <c r="F782" t="s">
        <v>320</v>
      </c>
      <c r="G782">
        <v>1</v>
      </c>
    </row>
    <row r="783" spans="1:7" x14ac:dyDescent="0.15">
      <c r="A783">
        <v>30100009</v>
      </c>
      <c r="B783">
        <v>2</v>
      </c>
      <c r="C783">
        <v>10</v>
      </c>
      <c r="D783">
        <v>10</v>
      </c>
      <c r="E783" t="s">
        <v>744</v>
      </c>
      <c r="F783" t="s">
        <v>320</v>
      </c>
      <c r="G783">
        <v>1</v>
      </c>
    </row>
    <row r="784" spans="1:7" x14ac:dyDescent="0.15">
      <c r="A784">
        <v>30100010</v>
      </c>
      <c r="B784">
        <v>1</v>
      </c>
      <c r="C784">
        <v>20</v>
      </c>
      <c r="D784">
        <v>20</v>
      </c>
      <c r="E784" t="s">
        <v>744</v>
      </c>
      <c r="F784" t="s">
        <v>320</v>
      </c>
      <c r="G784">
        <v>1</v>
      </c>
    </row>
    <row r="785" spans="1:7" x14ac:dyDescent="0.15">
      <c r="A785">
        <v>30100011</v>
      </c>
      <c r="B785">
        <v>4</v>
      </c>
      <c r="C785">
        <v>40</v>
      </c>
      <c r="D785">
        <v>40</v>
      </c>
      <c r="E785" t="s">
        <v>744</v>
      </c>
      <c r="F785" t="s">
        <v>320</v>
      </c>
      <c r="G785">
        <v>1</v>
      </c>
    </row>
    <row r="786" spans="1:7" x14ac:dyDescent="0.15">
      <c r="A786">
        <v>30100012</v>
      </c>
      <c r="B786">
        <v>5</v>
      </c>
      <c r="C786">
        <v>60</v>
      </c>
      <c r="D786">
        <v>60</v>
      </c>
      <c r="E786" t="s">
        <v>744</v>
      </c>
      <c r="F786" t="s">
        <v>320</v>
      </c>
      <c r="G786">
        <v>1</v>
      </c>
    </row>
    <row r="787" spans="1:7" x14ac:dyDescent="0.15">
      <c r="A787">
        <v>30200001</v>
      </c>
      <c r="B787">
        <v>2</v>
      </c>
      <c r="C787">
        <v>10</v>
      </c>
      <c r="D787">
        <v>10</v>
      </c>
      <c r="E787" t="s">
        <v>321</v>
      </c>
      <c r="F787" t="s">
        <v>322</v>
      </c>
      <c r="G787">
        <v>1</v>
      </c>
    </row>
    <row r="788" spans="1:7" x14ac:dyDescent="0.15">
      <c r="A788">
        <v>30200002</v>
      </c>
      <c r="B788">
        <v>1</v>
      </c>
      <c r="C788">
        <v>20</v>
      </c>
      <c r="D788">
        <v>20</v>
      </c>
      <c r="E788" t="s">
        <v>321</v>
      </c>
      <c r="F788" t="s">
        <v>322</v>
      </c>
      <c r="G788">
        <v>1</v>
      </c>
    </row>
    <row r="789" spans="1:7" x14ac:dyDescent="0.15">
      <c r="A789">
        <v>30200003</v>
      </c>
      <c r="B789">
        <v>4</v>
      </c>
      <c r="C789">
        <v>40</v>
      </c>
      <c r="D789">
        <v>40</v>
      </c>
      <c r="E789" t="s">
        <v>321</v>
      </c>
      <c r="F789" t="s">
        <v>322</v>
      </c>
      <c r="G789">
        <v>1</v>
      </c>
    </row>
    <row r="790" spans="1:7" x14ac:dyDescent="0.15">
      <c r="A790">
        <v>30200004</v>
      </c>
      <c r="B790">
        <v>5</v>
      </c>
      <c r="C790">
        <v>60</v>
      </c>
      <c r="D790">
        <v>60</v>
      </c>
      <c r="E790" t="s">
        <v>321</v>
      </c>
      <c r="F790" t="s">
        <v>322</v>
      </c>
      <c r="G790">
        <v>1</v>
      </c>
    </row>
    <row r="791" spans="1:7" x14ac:dyDescent="0.15">
      <c r="A791">
        <v>30200005</v>
      </c>
      <c r="B791">
        <v>2</v>
      </c>
      <c r="C791">
        <v>10</v>
      </c>
      <c r="D791">
        <v>10</v>
      </c>
      <c r="E791" t="s">
        <v>323</v>
      </c>
      <c r="F791" t="s">
        <v>322</v>
      </c>
      <c r="G791">
        <v>1</v>
      </c>
    </row>
    <row r="792" spans="1:7" x14ac:dyDescent="0.15">
      <c r="A792">
        <v>30200006</v>
      </c>
      <c r="B792">
        <v>1</v>
      </c>
      <c r="C792">
        <v>20</v>
      </c>
      <c r="D792">
        <v>20</v>
      </c>
      <c r="E792" t="s">
        <v>323</v>
      </c>
      <c r="F792" t="s">
        <v>322</v>
      </c>
      <c r="G792">
        <v>1</v>
      </c>
    </row>
    <row r="793" spans="1:7" x14ac:dyDescent="0.15">
      <c r="A793">
        <v>30200007</v>
      </c>
      <c r="B793">
        <v>4</v>
      </c>
      <c r="C793">
        <v>40</v>
      </c>
      <c r="D793">
        <v>40</v>
      </c>
      <c r="E793" t="s">
        <v>323</v>
      </c>
      <c r="F793" t="s">
        <v>322</v>
      </c>
      <c r="G793">
        <v>1</v>
      </c>
    </row>
    <row r="794" spans="1:7" x14ac:dyDescent="0.15">
      <c r="A794">
        <v>30200008</v>
      </c>
      <c r="B794">
        <v>5</v>
      </c>
      <c r="C794">
        <v>60</v>
      </c>
      <c r="D794">
        <v>60</v>
      </c>
      <c r="E794" t="s">
        <v>323</v>
      </c>
      <c r="F794" t="s">
        <v>322</v>
      </c>
      <c r="G794">
        <v>1</v>
      </c>
    </row>
    <row r="795" spans="1:7" x14ac:dyDescent="0.15">
      <c r="A795">
        <v>30200009</v>
      </c>
      <c r="B795">
        <v>2</v>
      </c>
      <c r="C795">
        <v>10</v>
      </c>
      <c r="D795">
        <v>10</v>
      </c>
      <c r="E795" t="s">
        <v>324</v>
      </c>
      <c r="F795" t="s">
        <v>322</v>
      </c>
      <c r="G795">
        <v>1</v>
      </c>
    </row>
    <row r="796" spans="1:7" x14ac:dyDescent="0.15">
      <c r="A796">
        <v>30200010</v>
      </c>
      <c r="B796">
        <v>1</v>
      </c>
      <c r="C796">
        <v>20</v>
      </c>
      <c r="D796">
        <v>20</v>
      </c>
      <c r="E796" t="s">
        <v>324</v>
      </c>
      <c r="F796" t="s">
        <v>322</v>
      </c>
      <c r="G796">
        <v>1</v>
      </c>
    </row>
    <row r="797" spans="1:7" x14ac:dyDescent="0.15">
      <c r="A797">
        <v>30200011</v>
      </c>
      <c r="B797">
        <v>4</v>
      </c>
      <c r="C797">
        <v>40</v>
      </c>
      <c r="D797">
        <v>40</v>
      </c>
      <c r="E797" t="s">
        <v>324</v>
      </c>
      <c r="F797" t="s">
        <v>322</v>
      </c>
      <c r="G797">
        <v>1</v>
      </c>
    </row>
    <row r="798" spans="1:7" x14ac:dyDescent="0.15">
      <c r="A798">
        <v>30200012</v>
      </c>
      <c r="B798">
        <v>5</v>
      </c>
      <c r="C798">
        <v>60</v>
      </c>
      <c r="D798">
        <v>60</v>
      </c>
      <c r="E798" t="s">
        <v>324</v>
      </c>
      <c r="F798" t="s">
        <v>322</v>
      </c>
      <c r="G798">
        <v>1</v>
      </c>
    </row>
    <row r="799" spans="1:7" x14ac:dyDescent="0.15">
      <c r="A799">
        <v>30200013</v>
      </c>
      <c r="B799">
        <v>2</v>
      </c>
      <c r="C799">
        <v>10</v>
      </c>
      <c r="D799">
        <v>10</v>
      </c>
      <c r="E799" t="s">
        <v>325</v>
      </c>
      <c r="F799" t="s">
        <v>322</v>
      </c>
      <c r="G799">
        <v>1</v>
      </c>
    </row>
    <row r="800" spans="1:7" x14ac:dyDescent="0.15">
      <c r="A800">
        <v>30200014</v>
      </c>
      <c r="B800">
        <v>1</v>
      </c>
      <c r="C800">
        <v>20</v>
      </c>
      <c r="D800">
        <v>20</v>
      </c>
      <c r="E800" t="s">
        <v>325</v>
      </c>
      <c r="F800" t="s">
        <v>322</v>
      </c>
      <c r="G800">
        <v>1</v>
      </c>
    </row>
    <row r="801" spans="1:7" x14ac:dyDescent="0.15">
      <c r="A801">
        <v>30200015</v>
      </c>
      <c r="B801">
        <v>4</v>
      </c>
      <c r="C801">
        <v>40</v>
      </c>
      <c r="D801">
        <v>40</v>
      </c>
      <c r="E801" t="s">
        <v>325</v>
      </c>
      <c r="F801" t="s">
        <v>322</v>
      </c>
      <c r="G801">
        <v>1</v>
      </c>
    </row>
    <row r="802" spans="1:7" x14ac:dyDescent="0.15">
      <c r="A802">
        <v>30200016</v>
      </c>
      <c r="B802">
        <v>5</v>
      </c>
      <c r="C802">
        <v>60</v>
      </c>
      <c r="D802">
        <v>60</v>
      </c>
      <c r="E802" t="s">
        <v>325</v>
      </c>
      <c r="F802" t="s">
        <v>322</v>
      </c>
      <c r="G802">
        <v>1</v>
      </c>
    </row>
    <row r="803" spans="1:7" x14ac:dyDescent="0.15">
      <c r="A803">
        <v>30200017</v>
      </c>
      <c r="B803">
        <v>2</v>
      </c>
      <c r="C803">
        <v>10</v>
      </c>
      <c r="D803">
        <v>10</v>
      </c>
      <c r="E803" t="s">
        <v>326</v>
      </c>
      <c r="F803" t="s">
        <v>322</v>
      </c>
      <c r="G803">
        <v>1</v>
      </c>
    </row>
    <row r="804" spans="1:7" x14ac:dyDescent="0.15">
      <c r="A804">
        <v>30200018</v>
      </c>
      <c r="B804">
        <v>1</v>
      </c>
      <c r="C804">
        <v>20</v>
      </c>
      <c r="D804">
        <v>20</v>
      </c>
      <c r="E804" t="s">
        <v>326</v>
      </c>
      <c r="F804" t="s">
        <v>322</v>
      </c>
      <c r="G804">
        <v>1</v>
      </c>
    </row>
    <row r="805" spans="1:7" x14ac:dyDescent="0.15">
      <c r="A805">
        <v>30200019</v>
      </c>
      <c r="B805">
        <v>4</v>
      </c>
      <c r="C805">
        <v>40</v>
      </c>
      <c r="D805">
        <v>40</v>
      </c>
      <c r="E805" t="s">
        <v>326</v>
      </c>
      <c r="F805" t="s">
        <v>322</v>
      </c>
      <c r="G805">
        <v>1</v>
      </c>
    </row>
    <row r="806" spans="1:7" x14ac:dyDescent="0.15">
      <c r="A806">
        <v>30200020</v>
      </c>
      <c r="B806">
        <v>5</v>
      </c>
      <c r="C806">
        <v>60</v>
      </c>
      <c r="D806">
        <v>60</v>
      </c>
      <c r="E806" t="s">
        <v>326</v>
      </c>
      <c r="F806" t="s">
        <v>322</v>
      </c>
      <c r="G806">
        <v>1</v>
      </c>
    </row>
    <row r="807" spans="1:7" x14ac:dyDescent="0.15">
      <c r="A807">
        <v>30200021</v>
      </c>
      <c r="B807">
        <v>2</v>
      </c>
      <c r="C807">
        <v>10</v>
      </c>
      <c r="D807">
        <v>10</v>
      </c>
      <c r="E807" t="s">
        <v>327</v>
      </c>
      <c r="F807" t="s">
        <v>322</v>
      </c>
      <c r="G807">
        <v>1</v>
      </c>
    </row>
    <row r="808" spans="1:7" x14ac:dyDescent="0.15">
      <c r="A808">
        <v>30200022</v>
      </c>
      <c r="B808">
        <v>1</v>
      </c>
      <c r="C808">
        <v>20</v>
      </c>
      <c r="D808">
        <v>20</v>
      </c>
      <c r="E808" t="s">
        <v>327</v>
      </c>
      <c r="F808" t="s">
        <v>322</v>
      </c>
      <c r="G808">
        <v>1</v>
      </c>
    </row>
    <row r="809" spans="1:7" x14ac:dyDescent="0.15">
      <c r="A809">
        <v>30200023</v>
      </c>
      <c r="B809">
        <v>4</v>
      </c>
      <c r="C809">
        <v>40</v>
      </c>
      <c r="D809">
        <v>40</v>
      </c>
      <c r="E809" t="s">
        <v>327</v>
      </c>
      <c r="F809" t="s">
        <v>322</v>
      </c>
      <c r="G809">
        <v>1</v>
      </c>
    </row>
    <row r="810" spans="1:7" x14ac:dyDescent="0.15">
      <c r="A810">
        <v>30200024</v>
      </c>
      <c r="B810">
        <v>5</v>
      </c>
      <c r="C810">
        <v>60</v>
      </c>
      <c r="D810">
        <v>60</v>
      </c>
      <c r="E810" t="s">
        <v>327</v>
      </c>
      <c r="F810" t="s">
        <v>322</v>
      </c>
      <c r="G810">
        <v>1</v>
      </c>
    </row>
    <row r="811" spans="1:7" x14ac:dyDescent="0.15">
      <c r="A811">
        <v>30300001</v>
      </c>
      <c r="B811">
        <v>2</v>
      </c>
      <c r="C811">
        <v>10</v>
      </c>
      <c r="D811">
        <v>10</v>
      </c>
      <c r="E811" t="s">
        <v>328</v>
      </c>
      <c r="F811" t="s">
        <v>329</v>
      </c>
      <c r="G811">
        <v>1</v>
      </c>
    </row>
    <row r="812" spans="1:7" x14ac:dyDescent="0.15">
      <c r="A812">
        <v>30300002</v>
      </c>
      <c r="B812">
        <v>1</v>
      </c>
      <c r="C812">
        <v>20</v>
      </c>
      <c r="D812">
        <v>20</v>
      </c>
      <c r="E812" t="s">
        <v>328</v>
      </c>
      <c r="F812" t="s">
        <v>329</v>
      </c>
      <c r="G812">
        <v>1</v>
      </c>
    </row>
    <row r="813" spans="1:7" x14ac:dyDescent="0.15">
      <c r="A813">
        <v>30300003</v>
      </c>
      <c r="B813">
        <v>4</v>
      </c>
      <c r="C813">
        <v>40</v>
      </c>
      <c r="D813">
        <v>40</v>
      </c>
      <c r="E813" t="s">
        <v>328</v>
      </c>
      <c r="F813" t="s">
        <v>329</v>
      </c>
      <c r="G813">
        <v>1</v>
      </c>
    </row>
    <row r="814" spans="1:7" x14ac:dyDescent="0.15">
      <c r="A814">
        <v>30300004</v>
      </c>
      <c r="B814">
        <v>5</v>
      </c>
      <c r="C814">
        <v>60</v>
      </c>
      <c r="D814">
        <v>60</v>
      </c>
      <c r="E814" t="s">
        <v>328</v>
      </c>
      <c r="F814" t="s">
        <v>329</v>
      </c>
      <c r="G814">
        <v>1</v>
      </c>
    </row>
    <row r="815" spans="1:7" x14ac:dyDescent="0.15">
      <c r="A815">
        <v>30300005</v>
      </c>
      <c r="B815">
        <v>2</v>
      </c>
      <c r="C815">
        <v>10</v>
      </c>
      <c r="D815">
        <v>10</v>
      </c>
      <c r="E815" t="s">
        <v>330</v>
      </c>
      <c r="F815" t="s">
        <v>329</v>
      </c>
      <c r="G815">
        <v>1</v>
      </c>
    </row>
    <row r="816" spans="1:7" x14ac:dyDescent="0.15">
      <c r="A816">
        <v>30300006</v>
      </c>
      <c r="B816">
        <v>1</v>
      </c>
      <c r="C816">
        <v>20</v>
      </c>
      <c r="D816">
        <v>20</v>
      </c>
      <c r="E816" t="s">
        <v>330</v>
      </c>
      <c r="F816" t="s">
        <v>329</v>
      </c>
      <c r="G816">
        <v>1</v>
      </c>
    </row>
    <row r="817" spans="1:7" x14ac:dyDescent="0.15">
      <c r="A817">
        <v>30300007</v>
      </c>
      <c r="B817">
        <v>4</v>
      </c>
      <c r="C817">
        <v>40</v>
      </c>
      <c r="D817">
        <v>40</v>
      </c>
      <c r="E817" t="s">
        <v>330</v>
      </c>
      <c r="F817" t="s">
        <v>329</v>
      </c>
      <c r="G817">
        <v>1</v>
      </c>
    </row>
    <row r="818" spans="1:7" x14ac:dyDescent="0.15">
      <c r="A818">
        <v>30300008</v>
      </c>
      <c r="B818">
        <v>5</v>
      </c>
      <c r="C818">
        <v>60</v>
      </c>
      <c r="D818">
        <v>60</v>
      </c>
      <c r="E818" t="s">
        <v>330</v>
      </c>
      <c r="F818" t="s">
        <v>329</v>
      </c>
      <c r="G818">
        <v>1</v>
      </c>
    </row>
    <row r="819" spans="1:7" x14ac:dyDescent="0.15">
      <c r="A819">
        <v>30300009</v>
      </c>
      <c r="B819">
        <v>2</v>
      </c>
      <c r="C819">
        <v>10</v>
      </c>
      <c r="D819">
        <v>10</v>
      </c>
      <c r="E819" t="s">
        <v>331</v>
      </c>
      <c r="F819" t="s">
        <v>329</v>
      </c>
      <c r="G819">
        <v>1</v>
      </c>
    </row>
    <row r="820" spans="1:7" x14ac:dyDescent="0.15">
      <c r="A820">
        <v>30300010</v>
      </c>
      <c r="B820">
        <v>1</v>
      </c>
      <c r="C820">
        <v>20</v>
      </c>
      <c r="D820">
        <v>20</v>
      </c>
      <c r="E820" t="s">
        <v>331</v>
      </c>
      <c r="F820" t="s">
        <v>329</v>
      </c>
      <c r="G820">
        <v>1</v>
      </c>
    </row>
    <row r="821" spans="1:7" x14ac:dyDescent="0.15">
      <c r="A821">
        <v>30300011</v>
      </c>
      <c r="B821">
        <v>4</v>
      </c>
      <c r="C821">
        <v>40</v>
      </c>
      <c r="D821">
        <v>40</v>
      </c>
      <c r="E821" t="s">
        <v>331</v>
      </c>
      <c r="F821" t="s">
        <v>329</v>
      </c>
      <c r="G821">
        <v>1</v>
      </c>
    </row>
    <row r="822" spans="1:7" x14ac:dyDescent="0.15">
      <c r="A822">
        <v>30300012</v>
      </c>
      <c r="B822">
        <v>5</v>
      </c>
      <c r="C822">
        <v>60</v>
      </c>
      <c r="D822">
        <v>60</v>
      </c>
      <c r="E822" t="s">
        <v>331</v>
      </c>
      <c r="F822" t="s">
        <v>329</v>
      </c>
      <c r="G822">
        <v>1</v>
      </c>
    </row>
    <row r="823" spans="1:7" x14ac:dyDescent="0.15">
      <c r="A823">
        <v>30300013</v>
      </c>
      <c r="B823">
        <v>2</v>
      </c>
      <c r="C823">
        <v>10</v>
      </c>
      <c r="D823">
        <v>10</v>
      </c>
      <c r="E823" t="s">
        <v>332</v>
      </c>
      <c r="F823" t="s">
        <v>329</v>
      </c>
      <c r="G823">
        <v>1</v>
      </c>
    </row>
    <row r="824" spans="1:7" x14ac:dyDescent="0.15">
      <c r="A824">
        <v>30300014</v>
      </c>
      <c r="B824">
        <v>1</v>
      </c>
      <c r="C824">
        <v>20</v>
      </c>
      <c r="D824">
        <v>20</v>
      </c>
      <c r="E824" t="s">
        <v>332</v>
      </c>
      <c r="F824" t="s">
        <v>329</v>
      </c>
      <c r="G824">
        <v>1</v>
      </c>
    </row>
    <row r="825" spans="1:7" x14ac:dyDescent="0.15">
      <c r="A825">
        <v>30300015</v>
      </c>
      <c r="B825">
        <v>4</v>
      </c>
      <c r="C825">
        <v>40</v>
      </c>
      <c r="D825">
        <v>40</v>
      </c>
      <c r="E825" t="s">
        <v>332</v>
      </c>
      <c r="F825" t="s">
        <v>329</v>
      </c>
      <c r="G825">
        <v>1</v>
      </c>
    </row>
    <row r="826" spans="1:7" x14ac:dyDescent="0.15">
      <c r="A826">
        <v>30300016</v>
      </c>
      <c r="B826">
        <v>5</v>
      </c>
      <c r="C826">
        <v>60</v>
      </c>
      <c r="D826">
        <v>60</v>
      </c>
      <c r="E826" t="s">
        <v>332</v>
      </c>
      <c r="F826" t="s">
        <v>329</v>
      </c>
      <c r="G826">
        <v>1</v>
      </c>
    </row>
    <row r="827" spans="1:7" x14ac:dyDescent="0.15">
      <c r="A827">
        <v>30300017</v>
      </c>
      <c r="B827">
        <v>2</v>
      </c>
      <c r="C827">
        <v>10</v>
      </c>
      <c r="D827">
        <v>10</v>
      </c>
      <c r="E827" t="s">
        <v>333</v>
      </c>
      <c r="F827" t="s">
        <v>329</v>
      </c>
      <c r="G827">
        <v>1</v>
      </c>
    </row>
    <row r="828" spans="1:7" x14ac:dyDescent="0.15">
      <c r="A828">
        <v>30300018</v>
      </c>
      <c r="B828">
        <v>1</v>
      </c>
      <c r="C828">
        <v>20</v>
      </c>
      <c r="D828">
        <v>20</v>
      </c>
      <c r="E828" t="s">
        <v>333</v>
      </c>
      <c r="F828" t="s">
        <v>329</v>
      </c>
      <c r="G828">
        <v>1</v>
      </c>
    </row>
    <row r="829" spans="1:7" x14ac:dyDescent="0.15">
      <c r="A829">
        <v>30300019</v>
      </c>
      <c r="B829">
        <v>4</v>
      </c>
      <c r="C829">
        <v>40</v>
      </c>
      <c r="D829">
        <v>40</v>
      </c>
      <c r="E829" t="s">
        <v>333</v>
      </c>
      <c r="F829" t="s">
        <v>329</v>
      </c>
      <c r="G829">
        <v>1</v>
      </c>
    </row>
    <row r="830" spans="1:7" x14ac:dyDescent="0.15">
      <c r="A830">
        <v>30300020</v>
      </c>
      <c r="B830">
        <v>5</v>
      </c>
      <c r="C830">
        <v>60</v>
      </c>
      <c r="D830">
        <v>60</v>
      </c>
      <c r="E830" t="s">
        <v>333</v>
      </c>
      <c r="F830" t="s">
        <v>329</v>
      </c>
      <c r="G830">
        <v>1</v>
      </c>
    </row>
    <row r="831" spans="1:7" x14ac:dyDescent="0.15">
      <c r="A831">
        <v>30300021</v>
      </c>
      <c r="B831">
        <v>2</v>
      </c>
      <c r="C831">
        <v>10</v>
      </c>
      <c r="D831">
        <v>10</v>
      </c>
      <c r="E831" t="s">
        <v>334</v>
      </c>
      <c r="F831" t="s">
        <v>329</v>
      </c>
      <c r="G831">
        <v>1</v>
      </c>
    </row>
    <row r="832" spans="1:7" x14ac:dyDescent="0.15">
      <c r="A832">
        <v>30300022</v>
      </c>
      <c r="B832">
        <v>1</v>
      </c>
      <c r="C832">
        <v>20</v>
      </c>
      <c r="D832">
        <v>20</v>
      </c>
      <c r="E832" t="s">
        <v>334</v>
      </c>
      <c r="F832" t="s">
        <v>329</v>
      </c>
      <c r="G832">
        <v>1</v>
      </c>
    </row>
    <row r="833" spans="1:7" x14ac:dyDescent="0.15">
      <c r="A833">
        <v>30300023</v>
      </c>
      <c r="B833">
        <v>4</v>
      </c>
      <c r="C833">
        <v>40</v>
      </c>
      <c r="D833">
        <v>40</v>
      </c>
      <c r="E833" t="s">
        <v>334</v>
      </c>
      <c r="F833" t="s">
        <v>329</v>
      </c>
      <c r="G833">
        <v>1</v>
      </c>
    </row>
    <row r="834" spans="1:7" x14ac:dyDescent="0.15">
      <c r="A834">
        <v>30300024</v>
      </c>
      <c r="B834">
        <v>5</v>
      </c>
      <c r="C834">
        <v>60</v>
      </c>
      <c r="D834">
        <v>60</v>
      </c>
      <c r="E834" t="s">
        <v>334</v>
      </c>
      <c r="F834" t="s">
        <v>329</v>
      </c>
      <c r="G834">
        <v>1</v>
      </c>
    </row>
    <row r="835" spans="1:7" x14ac:dyDescent="0.15">
      <c r="A835">
        <v>30301001</v>
      </c>
      <c r="B835">
        <v>2</v>
      </c>
      <c r="C835">
        <v>10</v>
      </c>
      <c r="D835">
        <v>10</v>
      </c>
      <c r="E835" t="s">
        <v>335</v>
      </c>
      <c r="F835" t="s">
        <v>336</v>
      </c>
      <c r="G835">
        <v>1</v>
      </c>
    </row>
    <row r="836" spans="1:7" x14ac:dyDescent="0.15">
      <c r="A836">
        <v>30301002</v>
      </c>
      <c r="B836">
        <v>1</v>
      </c>
      <c r="C836">
        <v>20</v>
      </c>
      <c r="D836">
        <v>20</v>
      </c>
      <c r="E836" t="s">
        <v>335</v>
      </c>
      <c r="F836" t="s">
        <v>336</v>
      </c>
      <c r="G836">
        <v>1</v>
      </c>
    </row>
    <row r="837" spans="1:7" x14ac:dyDescent="0.15">
      <c r="A837">
        <v>30301003</v>
      </c>
      <c r="B837">
        <v>4</v>
      </c>
      <c r="C837">
        <v>40</v>
      </c>
      <c r="D837">
        <v>40</v>
      </c>
      <c r="E837" t="s">
        <v>335</v>
      </c>
      <c r="F837" t="s">
        <v>336</v>
      </c>
      <c r="G837">
        <v>1</v>
      </c>
    </row>
    <row r="838" spans="1:7" x14ac:dyDescent="0.15">
      <c r="A838">
        <v>30301004</v>
      </c>
      <c r="B838">
        <v>5</v>
      </c>
      <c r="C838">
        <v>60</v>
      </c>
      <c r="D838">
        <v>60</v>
      </c>
      <c r="E838" t="s">
        <v>335</v>
      </c>
      <c r="F838" t="s">
        <v>336</v>
      </c>
      <c r="G838">
        <v>1</v>
      </c>
    </row>
    <row r="839" spans="1:7" x14ac:dyDescent="0.15">
      <c r="A839">
        <v>30301005</v>
      </c>
      <c r="B839">
        <v>2</v>
      </c>
      <c r="C839">
        <v>10</v>
      </c>
      <c r="D839">
        <v>10</v>
      </c>
      <c r="E839" t="s">
        <v>337</v>
      </c>
      <c r="F839" t="s">
        <v>336</v>
      </c>
      <c r="G839">
        <v>1</v>
      </c>
    </row>
    <row r="840" spans="1:7" x14ac:dyDescent="0.15">
      <c r="A840">
        <v>30301006</v>
      </c>
      <c r="B840">
        <v>1</v>
      </c>
      <c r="C840">
        <v>20</v>
      </c>
      <c r="D840">
        <v>20</v>
      </c>
      <c r="E840" t="s">
        <v>337</v>
      </c>
      <c r="F840" t="s">
        <v>336</v>
      </c>
      <c r="G840">
        <v>1</v>
      </c>
    </row>
    <row r="841" spans="1:7" x14ac:dyDescent="0.15">
      <c r="A841">
        <v>30301007</v>
      </c>
      <c r="B841">
        <v>4</v>
      </c>
      <c r="C841">
        <v>40</v>
      </c>
      <c r="D841">
        <v>40</v>
      </c>
      <c r="E841" t="s">
        <v>337</v>
      </c>
      <c r="F841" t="s">
        <v>336</v>
      </c>
      <c r="G841">
        <v>1</v>
      </c>
    </row>
    <row r="842" spans="1:7" x14ac:dyDescent="0.15">
      <c r="A842">
        <v>30301008</v>
      </c>
      <c r="B842">
        <v>5</v>
      </c>
      <c r="C842">
        <v>60</v>
      </c>
      <c r="D842">
        <v>60</v>
      </c>
      <c r="E842" t="s">
        <v>337</v>
      </c>
      <c r="F842" t="s">
        <v>336</v>
      </c>
      <c r="G842">
        <v>1</v>
      </c>
    </row>
    <row r="843" spans="1:7" x14ac:dyDescent="0.15">
      <c r="A843">
        <v>30301009</v>
      </c>
      <c r="B843">
        <v>2</v>
      </c>
      <c r="C843">
        <v>10</v>
      </c>
      <c r="D843">
        <v>10</v>
      </c>
      <c r="E843" t="s">
        <v>338</v>
      </c>
      <c r="F843" t="s">
        <v>336</v>
      </c>
      <c r="G843">
        <v>1</v>
      </c>
    </row>
    <row r="844" spans="1:7" x14ac:dyDescent="0.15">
      <c r="A844">
        <v>30301010</v>
      </c>
      <c r="B844">
        <v>1</v>
      </c>
      <c r="C844">
        <v>20</v>
      </c>
      <c r="D844">
        <v>20</v>
      </c>
      <c r="E844" t="s">
        <v>338</v>
      </c>
      <c r="F844" t="s">
        <v>336</v>
      </c>
      <c r="G844">
        <v>1</v>
      </c>
    </row>
    <row r="845" spans="1:7" x14ac:dyDescent="0.15">
      <c r="A845">
        <v>30301011</v>
      </c>
      <c r="B845">
        <v>4</v>
      </c>
      <c r="C845">
        <v>40</v>
      </c>
      <c r="D845">
        <v>40</v>
      </c>
      <c r="E845" t="s">
        <v>338</v>
      </c>
      <c r="F845" t="s">
        <v>336</v>
      </c>
      <c r="G845">
        <v>1</v>
      </c>
    </row>
    <row r="846" spans="1:7" x14ac:dyDescent="0.15">
      <c r="A846">
        <v>30301012</v>
      </c>
      <c r="B846">
        <v>5</v>
      </c>
      <c r="C846">
        <v>60</v>
      </c>
      <c r="D846">
        <v>60</v>
      </c>
      <c r="E846" t="s">
        <v>338</v>
      </c>
      <c r="F846" t="s">
        <v>336</v>
      </c>
      <c r="G846">
        <v>1</v>
      </c>
    </row>
    <row r="847" spans="1:7" x14ac:dyDescent="0.15">
      <c r="A847">
        <v>30301013</v>
      </c>
      <c r="B847">
        <v>2</v>
      </c>
      <c r="C847">
        <v>10</v>
      </c>
      <c r="D847">
        <v>10</v>
      </c>
      <c r="E847" t="s">
        <v>339</v>
      </c>
      <c r="F847" t="s">
        <v>336</v>
      </c>
      <c r="G847">
        <v>1</v>
      </c>
    </row>
    <row r="848" spans="1:7" x14ac:dyDescent="0.15">
      <c r="A848">
        <v>30301014</v>
      </c>
      <c r="B848">
        <v>1</v>
      </c>
      <c r="C848">
        <v>20</v>
      </c>
      <c r="D848">
        <v>20</v>
      </c>
      <c r="E848" t="s">
        <v>339</v>
      </c>
      <c r="F848" t="s">
        <v>336</v>
      </c>
      <c r="G848">
        <v>1</v>
      </c>
    </row>
    <row r="849" spans="1:7" x14ac:dyDescent="0.15">
      <c r="A849">
        <v>30301015</v>
      </c>
      <c r="B849">
        <v>4</v>
      </c>
      <c r="C849">
        <v>40</v>
      </c>
      <c r="D849">
        <v>40</v>
      </c>
      <c r="E849" t="s">
        <v>339</v>
      </c>
      <c r="F849" t="s">
        <v>336</v>
      </c>
      <c r="G849">
        <v>1</v>
      </c>
    </row>
    <row r="850" spans="1:7" x14ac:dyDescent="0.15">
      <c r="A850">
        <v>30301016</v>
      </c>
      <c r="B850">
        <v>5</v>
      </c>
      <c r="C850">
        <v>60</v>
      </c>
      <c r="D850">
        <v>60</v>
      </c>
      <c r="E850" t="s">
        <v>339</v>
      </c>
      <c r="F850" t="s">
        <v>336</v>
      </c>
      <c r="G850">
        <v>1</v>
      </c>
    </row>
    <row r="851" spans="1:7" x14ac:dyDescent="0.15">
      <c r="A851">
        <v>30301017</v>
      </c>
      <c r="B851">
        <v>2</v>
      </c>
      <c r="C851">
        <v>10</v>
      </c>
      <c r="D851">
        <v>10</v>
      </c>
      <c r="E851" t="s">
        <v>340</v>
      </c>
      <c r="F851" t="s">
        <v>336</v>
      </c>
      <c r="G851">
        <v>1</v>
      </c>
    </row>
    <row r="852" spans="1:7" x14ac:dyDescent="0.15">
      <c r="A852">
        <v>30301018</v>
      </c>
      <c r="B852">
        <v>1</v>
      </c>
      <c r="C852">
        <v>20</v>
      </c>
      <c r="D852">
        <v>20</v>
      </c>
      <c r="E852" t="s">
        <v>340</v>
      </c>
      <c r="F852" t="s">
        <v>336</v>
      </c>
      <c r="G852">
        <v>1</v>
      </c>
    </row>
    <row r="853" spans="1:7" x14ac:dyDescent="0.15">
      <c r="A853">
        <v>30301019</v>
      </c>
      <c r="B853">
        <v>4</v>
      </c>
      <c r="C853">
        <v>40</v>
      </c>
      <c r="D853">
        <v>40</v>
      </c>
      <c r="E853" t="s">
        <v>340</v>
      </c>
      <c r="F853" t="s">
        <v>336</v>
      </c>
      <c r="G853">
        <v>1</v>
      </c>
    </row>
    <row r="854" spans="1:7" x14ac:dyDescent="0.15">
      <c r="A854">
        <v>30301020</v>
      </c>
      <c r="B854">
        <v>5</v>
      </c>
      <c r="C854">
        <v>60</v>
      </c>
      <c r="D854">
        <v>60</v>
      </c>
      <c r="E854" t="s">
        <v>340</v>
      </c>
      <c r="F854" t="s">
        <v>336</v>
      </c>
      <c r="G854">
        <v>1</v>
      </c>
    </row>
    <row r="855" spans="1:7" x14ac:dyDescent="0.15">
      <c r="A855">
        <v>30301021</v>
      </c>
      <c r="B855">
        <v>2</v>
      </c>
      <c r="C855">
        <v>10</v>
      </c>
      <c r="D855">
        <v>10</v>
      </c>
      <c r="E855" t="s">
        <v>341</v>
      </c>
      <c r="F855" t="s">
        <v>336</v>
      </c>
      <c r="G855">
        <v>1</v>
      </c>
    </row>
    <row r="856" spans="1:7" x14ac:dyDescent="0.15">
      <c r="A856">
        <v>30301022</v>
      </c>
      <c r="B856">
        <v>1</v>
      </c>
      <c r="C856">
        <v>20</v>
      </c>
      <c r="D856">
        <v>20</v>
      </c>
      <c r="E856" t="s">
        <v>341</v>
      </c>
      <c r="F856" t="s">
        <v>336</v>
      </c>
      <c r="G856">
        <v>1</v>
      </c>
    </row>
    <row r="857" spans="1:7" x14ac:dyDescent="0.15">
      <c r="A857">
        <v>30301023</v>
      </c>
      <c r="B857">
        <v>4</v>
      </c>
      <c r="C857">
        <v>40</v>
      </c>
      <c r="D857">
        <v>40</v>
      </c>
      <c r="E857" t="s">
        <v>341</v>
      </c>
      <c r="F857" t="s">
        <v>336</v>
      </c>
      <c r="G857">
        <v>1</v>
      </c>
    </row>
    <row r="858" spans="1:7" x14ac:dyDescent="0.15">
      <c r="A858">
        <v>30301024</v>
      </c>
      <c r="B858">
        <v>5</v>
      </c>
      <c r="C858">
        <v>60</v>
      </c>
      <c r="D858">
        <v>60</v>
      </c>
      <c r="E858" t="s">
        <v>341</v>
      </c>
      <c r="F858" t="s">
        <v>336</v>
      </c>
      <c r="G858">
        <v>1</v>
      </c>
    </row>
    <row r="859" spans="1:7" x14ac:dyDescent="0.15">
      <c r="A859">
        <v>30401001</v>
      </c>
      <c r="B859">
        <v>2</v>
      </c>
      <c r="C859">
        <v>10</v>
      </c>
      <c r="D859">
        <v>10</v>
      </c>
      <c r="E859" t="s">
        <v>353</v>
      </c>
      <c r="F859" t="s">
        <v>354</v>
      </c>
      <c r="G859">
        <v>1</v>
      </c>
    </row>
    <row r="860" spans="1:7" x14ac:dyDescent="0.15">
      <c r="A860">
        <v>30401002</v>
      </c>
      <c r="B860">
        <v>1</v>
      </c>
      <c r="C860">
        <v>20</v>
      </c>
      <c r="D860">
        <v>20</v>
      </c>
      <c r="E860" t="s">
        <v>353</v>
      </c>
      <c r="F860" t="s">
        <v>354</v>
      </c>
      <c r="G860">
        <v>1</v>
      </c>
    </row>
    <row r="861" spans="1:7" x14ac:dyDescent="0.15">
      <c r="A861">
        <v>30401003</v>
      </c>
      <c r="B861">
        <v>4</v>
      </c>
      <c r="C861">
        <v>40</v>
      </c>
      <c r="D861">
        <v>40</v>
      </c>
      <c r="E861" t="s">
        <v>353</v>
      </c>
      <c r="F861" t="s">
        <v>354</v>
      </c>
      <c r="G861">
        <v>1</v>
      </c>
    </row>
    <row r="862" spans="1:7" x14ac:dyDescent="0.15">
      <c r="A862">
        <v>30401004</v>
      </c>
      <c r="B862">
        <v>5</v>
      </c>
      <c r="C862">
        <v>60</v>
      </c>
      <c r="D862">
        <v>60</v>
      </c>
      <c r="E862" t="s">
        <v>353</v>
      </c>
      <c r="F862" t="s">
        <v>354</v>
      </c>
      <c r="G862">
        <v>1</v>
      </c>
    </row>
    <row r="863" spans="1:7" x14ac:dyDescent="0.15">
      <c r="A863">
        <v>30401005</v>
      </c>
      <c r="B863">
        <v>2</v>
      </c>
      <c r="C863">
        <v>10</v>
      </c>
      <c r="D863">
        <v>10</v>
      </c>
      <c r="E863" t="s">
        <v>355</v>
      </c>
      <c r="F863" t="s">
        <v>354</v>
      </c>
      <c r="G863">
        <v>1</v>
      </c>
    </row>
    <row r="864" spans="1:7" x14ac:dyDescent="0.15">
      <c r="A864">
        <v>30401006</v>
      </c>
      <c r="B864">
        <v>1</v>
      </c>
      <c r="C864">
        <v>20</v>
      </c>
      <c r="D864">
        <v>20</v>
      </c>
      <c r="E864" t="s">
        <v>355</v>
      </c>
      <c r="F864" t="s">
        <v>354</v>
      </c>
      <c r="G864">
        <v>1</v>
      </c>
    </row>
    <row r="865" spans="1:7" x14ac:dyDescent="0.15">
      <c r="A865">
        <v>30401007</v>
      </c>
      <c r="B865">
        <v>4</v>
      </c>
      <c r="C865">
        <v>40</v>
      </c>
      <c r="D865">
        <v>40</v>
      </c>
      <c r="E865" t="s">
        <v>355</v>
      </c>
      <c r="F865" t="s">
        <v>354</v>
      </c>
      <c r="G865">
        <v>1</v>
      </c>
    </row>
    <row r="866" spans="1:7" x14ac:dyDescent="0.15">
      <c r="A866">
        <v>30401008</v>
      </c>
      <c r="B866">
        <v>5</v>
      </c>
      <c r="C866">
        <v>60</v>
      </c>
      <c r="D866">
        <v>60</v>
      </c>
      <c r="E866" t="s">
        <v>355</v>
      </c>
      <c r="F866" t="s">
        <v>354</v>
      </c>
      <c r="G866">
        <v>1</v>
      </c>
    </row>
    <row r="867" spans="1:7" x14ac:dyDescent="0.15">
      <c r="A867">
        <v>30401009</v>
      </c>
      <c r="B867">
        <v>2</v>
      </c>
      <c r="C867">
        <v>10</v>
      </c>
      <c r="D867">
        <v>10</v>
      </c>
      <c r="E867" t="s">
        <v>356</v>
      </c>
      <c r="F867" t="s">
        <v>354</v>
      </c>
      <c r="G867">
        <v>1</v>
      </c>
    </row>
    <row r="868" spans="1:7" x14ac:dyDescent="0.15">
      <c r="A868">
        <v>30401010</v>
      </c>
      <c r="B868">
        <v>1</v>
      </c>
      <c r="C868">
        <v>20</v>
      </c>
      <c r="D868">
        <v>20</v>
      </c>
      <c r="E868" t="s">
        <v>356</v>
      </c>
      <c r="F868" t="s">
        <v>354</v>
      </c>
      <c r="G868">
        <v>1</v>
      </c>
    </row>
    <row r="869" spans="1:7" x14ac:dyDescent="0.15">
      <c r="A869">
        <v>30401011</v>
      </c>
      <c r="B869">
        <v>4</v>
      </c>
      <c r="C869">
        <v>40</v>
      </c>
      <c r="D869">
        <v>40</v>
      </c>
      <c r="E869" t="s">
        <v>356</v>
      </c>
      <c r="F869" t="s">
        <v>354</v>
      </c>
      <c r="G869">
        <v>1</v>
      </c>
    </row>
    <row r="870" spans="1:7" x14ac:dyDescent="0.15">
      <c r="A870">
        <v>30401012</v>
      </c>
      <c r="B870">
        <v>5</v>
      </c>
      <c r="C870">
        <v>60</v>
      </c>
      <c r="D870">
        <v>60</v>
      </c>
      <c r="E870" t="s">
        <v>356</v>
      </c>
      <c r="F870" t="s">
        <v>354</v>
      </c>
      <c r="G870">
        <v>1</v>
      </c>
    </row>
    <row r="871" spans="1:7" x14ac:dyDescent="0.15">
      <c r="A871">
        <v>30401017</v>
      </c>
      <c r="B871">
        <v>2</v>
      </c>
      <c r="C871">
        <v>10</v>
      </c>
      <c r="D871">
        <v>10</v>
      </c>
      <c r="E871" t="s">
        <v>357</v>
      </c>
      <c r="F871" t="s">
        <v>354</v>
      </c>
      <c r="G871">
        <v>1</v>
      </c>
    </row>
    <row r="872" spans="1:7" x14ac:dyDescent="0.15">
      <c r="A872">
        <v>30401018</v>
      </c>
      <c r="B872">
        <v>1</v>
      </c>
      <c r="C872">
        <v>20</v>
      </c>
      <c r="D872">
        <v>20</v>
      </c>
      <c r="E872" t="s">
        <v>357</v>
      </c>
      <c r="F872" t="s">
        <v>354</v>
      </c>
      <c r="G872">
        <v>1</v>
      </c>
    </row>
    <row r="873" spans="1:7" x14ac:dyDescent="0.15">
      <c r="A873">
        <v>30401019</v>
      </c>
      <c r="B873">
        <v>4</v>
      </c>
      <c r="C873">
        <v>40</v>
      </c>
      <c r="D873">
        <v>40</v>
      </c>
      <c r="E873" t="s">
        <v>357</v>
      </c>
      <c r="F873" t="s">
        <v>354</v>
      </c>
      <c r="G873">
        <v>1</v>
      </c>
    </row>
    <row r="874" spans="1:7" x14ac:dyDescent="0.15">
      <c r="A874">
        <v>30401020</v>
      </c>
      <c r="B874">
        <v>5</v>
      </c>
      <c r="C874">
        <v>60</v>
      </c>
      <c r="D874">
        <v>60</v>
      </c>
      <c r="E874" t="s">
        <v>357</v>
      </c>
      <c r="F874" t="s">
        <v>354</v>
      </c>
      <c r="G874">
        <v>1</v>
      </c>
    </row>
    <row r="875" spans="1:7" x14ac:dyDescent="0.15">
      <c r="A875">
        <v>30401021</v>
      </c>
      <c r="B875">
        <v>2</v>
      </c>
      <c r="C875">
        <v>10</v>
      </c>
      <c r="D875">
        <v>10</v>
      </c>
      <c r="E875" t="s">
        <v>358</v>
      </c>
      <c r="F875" t="s">
        <v>354</v>
      </c>
      <c r="G875">
        <v>1</v>
      </c>
    </row>
    <row r="876" spans="1:7" x14ac:dyDescent="0.15">
      <c r="A876">
        <v>30401022</v>
      </c>
      <c r="B876">
        <v>1</v>
      </c>
      <c r="C876">
        <v>20</v>
      </c>
      <c r="D876">
        <v>20</v>
      </c>
      <c r="E876" t="s">
        <v>358</v>
      </c>
      <c r="F876" t="s">
        <v>354</v>
      </c>
      <c r="G876">
        <v>1</v>
      </c>
    </row>
    <row r="877" spans="1:7" x14ac:dyDescent="0.15">
      <c r="A877">
        <v>30401023</v>
      </c>
      <c r="B877">
        <v>4</v>
      </c>
      <c r="C877">
        <v>40</v>
      </c>
      <c r="D877">
        <v>40</v>
      </c>
      <c r="E877" t="s">
        <v>358</v>
      </c>
      <c r="F877" t="s">
        <v>354</v>
      </c>
      <c r="G877">
        <v>1</v>
      </c>
    </row>
    <row r="878" spans="1:7" x14ac:dyDescent="0.15">
      <c r="A878">
        <v>30401024</v>
      </c>
      <c r="B878">
        <v>5</v>
      </c>
      <c r="C878">
        <v>60</v>
      </c>
      <c r="D878">
        <v>60</v>
      </c>
      <c r="E878" t="s">
        <v>358</v>
      </c>
      <c r="F878" t="s">
        <v>354</v>
      </c>
      <c r="G878">
        <v>1</v>
      </c>
    </row>
    <row r="879" spans="1:7" x14ac:dyDescent="0.15">
      <c r="A879">
        <v>30500001</v>
      </c>
      <c r="B879">
        <v>2</v>
      </c>
      <c r="C879">
        <v>10</v>
      </c>
      <c r="D879">
        <v>10</v>
      </c>
      <c r="E879" t="s">
        <v>342</v>
      </c>
      <c r="F879" t="s">
        <v>343</v>
      </c>
      <c r="G879">
        <v>1</v>
      </c>
    </row>
    <row r="880" spans="1:7" x14ac:dyDescent="0.15">
      <c r="A880">
        <v>30500002</v>
      </c>
      <c r="B880">
        <v>1</v>
      </c>
      <c r="C880">
        <v>20</v>
      </c>
      <c r="D880">
        <v>20</v>
      </c>
      <c r="E880" t="s">
        <v>342</v>
      </c>
      <c r="F880" t="s">
        <v>343</v>
      </c>
      <c r="G880">
        <v>1</v>
      </c>
    </row>
    <row r="881" spans="1:7" x14ac:dyDescent="0.15">
      <c r="A881">
        <v>30500003</v>
      </c>
      <c r="B881">
        <v>4</v>
      </c>
      <c r="C881">
        <v>40</v>
      </c>
      <c r="D881">
        <v>40</v>
      </c>
      <c r="E881" t="s">
        <v>342</v>
      </c>
      <c r="F881" t="s">
        <v>343</v>
      </c>
      <c r="G881">
        <v>1</v>
      </c>
    </row>
    <row r="882" spans="1:7" x14ac:dyDescent="0.15">
      <c r="A882">
        <v>30500004</v>
      </c>
      <c r="B882">
        <v>5</v>
      </c>
      <c r="C882">
        <v>60</v>
      </c>
      <c r="D882">
        <v>60</v>
      </c>
      <c r="E882" t="s">
        <v>342</v>
      </c>
      <c r="F882" t="s">
        <v>343</v>
      </c>
      <c r="G882">
        <v>1</v>
      </c>
    </row>
    <row r="883" spans="1:7" x14ac:dyDescent="0.15">
      <c r="A883">
        <v>30500005</v>
      </c>
      <c r="B883">
        <v>2</v>
      </c>
      <c r="C883">
        <v>10</v>
      </c>
      <c r="D883">
        <v>10</v>
      </c>
      <c r="E883" t="s">
        <v>344</v>
      </c>
      <c r="F883" t="s">
        <v>343</v>
      </c>
      <c r="G883">
        <v>1</v>
      </c>
    </row>
    <row r="884" spans="1:7" x14ac:dyDescent="0.15">
      <c r="A884">
        <v>30500006</v>
      </c>
      <c r="B884">
        <v>1</v>
      </c>
      <c r="C884">
        <v>20</v>
      </c>
      <c r="D884">
        <v>20</v>
      </c>
      <c r="E884" t="s">
        <v>344</v>
      </c>
      <c r="F884" t="s">
        <v>343</v>
      </c>
      <c r="G884">
        <v>1</v>
      </c>
    </row>
    <row r="885" spans="1:7" x14ac:dyDescent="0.15">
      <c r="A885">
        <v>30500007</v>
      </c>
      <c r="B885">
        <v>4</v>
      </c>
      <c r="C885">
        <v>40</v>
      </c>
      <c r="D885">
        <v>40</v>
      </c>
      <c r="E885" t="s">
        <v>344</v>
      </c>
      <c r="F885" t="s">
        <v>343</v>
      </c>
      <c r="G885">
        <v>1</v>
      </c>
    </row>
    <row r="886" spans="1:7" x14ac:dyDescent="0.15">
      <c r="A886">
        <v>30500008</v>
      </c>
      <c r="B886">
        <v>5</v>
      </c>
      <c r="C886">
        <v>60</v>
      </c>
      <c r="D886">
        <v>60</v>
      </c>
      <c r="E886" t="s">
        <v>344</v>
      </c>
      <c r="F886" t="s">
        <v>343</v>
      </c>
      <c r="G886">
        <v>1</v>
      </c>
    </row>
    <row r="887" spans="1:7" x14ac:dyDescent="0.15">
      <c r="A887">
        <v>30500009</v>
      </c>
      <c r="B887">
        <v>2</v>
      </c>
      <c r="C887">
        <v>10</v>
      </c>
      <c r="D887">
        <v>10</v>
      </c>
      <c r="E887" t="s">
        <v>345</v>
      </c>
      <c r="F887" t="s">
        <v>343</v>
      </c>
      <c r="G887">
        <v>1</v>
      </c>
    </row>
    <row r="888" spans="1:7" x14ac:dyDescent="0.15">
      <c r="A888">
        <v>30500010</v>
      </c>
      <c r="B888">
        <v>1</v>
      </c>
      <c r="C888">
        <v>20</v>
      </c>
      <c r="D888">
        <v>20</v>
      </c>
      <c r="E888" t="s">
        <v>345</v>
      </c>
      <c r="F888" t="s">
        <v>343</v>
      </c>
      <c r="G888">
        <v>1</v>
      </c>
    </row>
    <row r="889" spans="1:7" x14ac:dyDescent="0.15">
      <c r="A889">
        <v>30500011</v>
      </c>
      <c r="B889">
        <v>4</v>
      </c>
      <c r="C889">
        <v>40</v>
      </c>
      <c r="D889">
        <v>40</v>
      </c>
      <c r="E889" t="s">
        <v>345</v>
      </c>
      <c r="F889" t="s">
        <v>343</v>
      </c>
      <c r="G889">
        <v>1</v>
      </c>
    </row>
    <row r="890" spans="1:7" x14ac:dyDescent="0.15">
      <c r="A890">
        <v>30500012</v>
      </c>
      <c r="B890">
        <v>5</v>
      </c>
      <c r="C890">
        <v>60</v>
      </c>
      <c r="D890">
        <v>60</v>
      </c>
      <c r="E890" t="s">
        <v>345</v>
      </c>
      <c r="F890" t="s">
        <v>343</v>
      </c>
      <c r="G890">
        <v>1</v>
      </c>
    </row>
    <row r="891" spans="1:7" x14ac:dyDescent="0.15">
      <c r="A891">
        <v>30500013</v>
      </c>
      <c r="B891">
        <v>2</v>
      </c>
      <c r="C891">
        <v>10</v>
      </c>
      <c r="D891">
        <v>10</v>
      </c>
      <c r="E891" t="s">
        <v>346</v>
      </c>
      <c r="F891" t="s">
        <v>343</v>
      </c>
      <c r="G891">
        <v>1</v>
      </c>
    </row>
    <row r="892" spans="1:7" x14ac:dyDescent="0.15">
      <c r="A892">
        <v>30500014</v>
      </c>
      <c r="B892">
        <v>1</v>
      </c>
      <c r="C892">
        <v>20</v>
      </c>
      <c r="D892">
        <v>20</v>
      </c>
      <c r="E892" t="s">
        <v>346</v>
      </c>
      <c r="F892" t="s">
        <v>343</v>
      </c>
      <c r="G892">
        <v>1</v>
      </c>
    </row>
    <row r="893" spans="1:7" x14ac:dyDescent="0.15">
      <c r="A893">
        <v>30500015</v>
      </c>
      <c r="B893">
        <v>4</v>
      </c>
      <c r="C893">
        <v>40</v>
      </c>
      <c r="D893">
        <v>40</v>
      </c>
      <c r="E893" t="s">
        <v>346</v>
      </c>
      <c r="F893" t="s">
        <v>343</v>
      </c>
      <c r="G893">
        <v>1</v>
      </c>
    </row>
    <row r="894" spans="1:7" x14ac:dyDescent="0.15">
      <c r="A894">
        <v>30500016</v>
      </c>
      <c r="B894">
        <v>5</v>
      </c>
      <c r="C894">
        <v>60</v>
      </c>
      <c r="D894">
        <v>60</v>
      </c>
      <c r="E894" t="s">
        <v>346</v>
      </c>
      <c r="F894" t="s">
        <v>343</v>
      </c>
      <c r="G894">
        <v>1</v>
      </c>
    </row>
    <row r="895" spans="1:7" x14ac:dyDescent="0.15">
      <c r="A895">
        <v>30700001</v>
      </c>
      <c r="B895">
        <v>2</v>
      </c>
      <c r="C895">
        <v>10</v>
      </c>
      <c r="D895">
        <v>10</v>
      </c>
      <c r="E895" t="s">
        <v>347</v>
      </c>
      <c r="F895" t="s">
        <v>348</v>
      </c>
      <c r="G895">
        <v>1</v>
      </c>
    </row>
    <row r="896" spans="1:7" x14ac:dyDescent="0.15">
      <c r="A896">
        <v>30700002</v>
      </c>
      <c r="B896">
        <v>1</v>
      </c>
      <c r="C896">
        <v>20</v>
      </c>
      <c r="D896">
        <v>20</v>
      </c>
      <c r="E896" t="s">
        <v>347</v>
      </c>
      <c r="F896" t="s">
        <v>348</v>
      </c>
      <c r="G896">
        <v>1</v>
      </c>
    </row>
    <row r="897" spans="1:7" x14ac:dyDescent="0.15">
      <c r="A897">
        <v>30700003</v>
      </c>
      <c r="B897">
        <v>4</v>
      </c>
      <c r="C897">
        <v>40</v>
      </c>
      <c r="D897">
        <v>40</v>
      </c>
      <c r="E897" t="s">
        <v>347</v>
      </c>
      <c r="F897" t="s">
        <v>348</v>
      </c>
      <c r="G897">
        <v>1</v>
      </c>
    </row>
    <row r="898" spans="1:7" x14ac:dyDescent="0.15">
      <c r="A898">
        <v>30700004</v>
      </c>
      <c r="B898">
        <v>5</v>
      </c>
      <c r="C898">
        <v>60</v>
      </c>
      <c r="D898">
        <v>60</v>
      </c>
      <c r="E898" t="s">
        <v>347</v>
      </c>
      <c r="F898" t="s">
        <v>348</v>
      </c>
      <c r="G898">
        <v>1</v>
      </c>
    </row>
    <row r="899" spans="1:7" x14ac:dyDescent="0.15">
      <c r="A899">
        <v>30700005</v>
      </c>
      <c r="B899">
        <v>2</v>
      </c>
      <c r="C899">
        <v>10</v>
      </c>
      <c r="D899">
        <v>10</v>
      </c>
      <c r="E899" t="s">
        <v>349</v>
      </c>
      <c r="F899" t="s">
        <v>348</v>
      </c>
      <c r="G899">
        <v>1</v>
      </c>
    </row>
    <row r="900" spans="1:7" x14ac:dyDescent="0.15">
      <c r="A900">
        <v>30700006</v>
      </c>
      <c r="B900">
        <v>1</v>
      </c>
      <c r="C900">
        <v>20</v>
      </c>
      <c r="D900">
        <v>20</v>
      </c>
      <c r="E900" t="s">
        <v>349</v>
      </c>
      <c r="F900" t="s">
        <v>348</v>
      </c>
      <c r="G900">
        <v>1</v>
      </c>
    </row>
    <row r="901" spans="1:7" x14ac:dyDescent="0.15">
      <c r="A901">
        <v>30700007</v>
      </c>
      <c r="B901">
        <v>4</v>
      </c>
      <c r="C901">
        <v>40</v>
      </c>
      <c r="D901">
        <v>40</v>
      </c>
      <c r="E901" t="s">
        <v>349</v>
      </c>
      <c r="F901" t="s">
        <v>348</v>
      </c>
      <c r="G901">
        <v>1</v>
      </c>
    </row>
    <row r="902" spans="1:7" x14ac:dyDescent="0.15">
      <c r="A902">
        <v>30700008</v>
      </c>
      <c r="B902">
        <v>5</v>
      </c>
      <c r="C902">
        <v>60</v>
      </c>
      <c r="D902">
        <v>60</v>
      </c>
      <c r="E902" t="s">
        <v>349</v>
      </c>
      <c r="F902" t="s">
        <v>348</v>
      </c>
      <c r="G902">
        <v>1</v>
      </c>
    </row>
    <row r="903" spans="1:7" x14ac:dyDescent="0.15">
      <c r="A903">
        <v>30700009</v>
      </c>
      <c r="B903">
        <v>2</v>
      </c>
      <c r="C903">
        <v>10</v>
      </c>
      <c r="D903">
        <v>10</v>
      </c>
      <c r="E903" t="s">
        <v>350</v>
      </c>
      <c r="F903" t="s">
        <v>348</v>
      </c>
      <c r="G903">
        <v>1</v>
      </c>
    </row>
    <row r="904" spans="1:7" x14ac:dyDescent="0.15">
      <c r="A904">
        <v>30700010</v>
      </c>
      <c r="B904">
        <v>1</v>
      </c>
      <c r="C904">
        <v>20</v>
      </c>
      <c r="D904">
        <v>20</v>
      </c>
      <c r="E904" t="s">
        <v>350</v>
      </c>
      <c r="F904" t="s">
        <v>348</v>
      </c>
      <c r="G904">
        <v>1</v>
      </c>
    </row>
    <row r="905" spans="1:7" x14ac:dyDescent="0.15">
      <c r="A905">
        <v>30700011</v>
      </c>
      <c r="B905">
        <v>4</v>
      </c>
      <c r="C905">
        <v>40</v>
      </c>
      <c r="D905">
        <v>40</v>
      </c>
      <c r="E905" t="s">
        <v>350</v>
      </c>
      <c r="F905" t="s">
        <v>348</v>
      </c>
      <c r="G905">
        <v>1</v>
      </c>
    </row>
    <row r="906" spans="1:7" x14ac:dyDescent="0.15">
      <c r="A906">
        <v>30700012</v>
      </c>
      <c r="B906">
        <v>5</v>
      </c>
      <c r="C906">
        <v>60</v>
      </c>
      <c r="D906">
        <v>60</v>
      </c>
      <c r="E906" t="s">
        <v>350</v>
      </c>
      <c r="F906" t="s">
        <v>348</v>
      </c>
      <c r="G906">
        <v>1</v>
      </c>
    </row>
    <row r="907" spans="1:7" x14ac:dyDescent="0.15">
      <c r="A907">
        <v>30700013</v>
      </c>
      <c r="B907">
        <v>2</v>
      </c>
      <c r="C907">
        <v>10</v>
      </c>
      <c r="D907">
        <v>10</v>
      </c>
      <c r="E907" t="s">
        <v>351</v>
      </c>
      <c r="F907" t="s">
        <v>348</v>
      </c>
      <c r="G907">
        <v>1</v>
      </c>
    </row>
    <row r="908" spans="1:7" x14ac:dyDescent="0.15">
      <c r="A908">
        <v>30700014</v>
      </c>
      <c r="B908">
        <v>1</v>
      </c>
      <c r="C908">
        <v>20</v>
      </c>
      <c r="D908">
        <v>20</v>
      </c>
      <c r="E908" t="s">
        <v>351</v>
      </c>
      <c r="F908" t="s">
        <v>348</v>
      </c>
      <c r="G908">
        <v>1</v>
      </c>
    </row>
    <row r="909" spans="1:7" x14ac:dyDescent="0.15">
      <c r="A909">
        <v>30700015</v>
      </c>
      <c r="B909">
        <v>4</v>
      </c>
      <c r="C909">
        <v>40</v>
      </c>
      <c r="D909">
        <v>40</v>
      </c>
      <c r="E909" t="s">
        <v>351</v>
      </c>
      <c r="F909" t="s">
        <v>348</v>
      </c>
      <c r="G909">
        <v>1</v>
      </c>
    </row>
    <row r="910" spans="1:7" x14ac:dyDescent="0.15">
      <c r="A910">
        <v>30700016</v>
      </c>
      <c r="B910">
        <v>5</v>
      </c>
      <c r="C910">
        <v>60</v>
      </c>
      <c r="D910">
        <v>60</v>
      </c>
      <c r="E910" t="s">
        <v>351</v>
      </c>
      <c r="F910" t="s">
        <v>348</v>
      </c>
      <c r="G910">
        <v>1</v>
      </c>
    </row>
    <row r="911" spans="1:7" x14ac:dyDescent="0.15">
      <c r="A911">
        <v>30700017</v>
      </c>
      <c r="B911">
        <v>2</v>
      </c>
      <c r="C911">
        <v>10</v>
      </c>
      <c r="D911">
        <v>10</v>
      </c>
      <c r="E911" t="s">
        <v>352</v>
      </c>
      <c r="F911" t="s">
        <v>348</v>
      </c>
      <c r="G911">
        <v>1</v>
      </c>
    </row>
    <row r="912" spans="1:7" x14ac:dyDescent="0.15">
      <c r="A912">
        <v>30700018</v>
      </c>
      <c r="B912">
        <v>1</v>
      </c>
      <c r="C912">
        <v>20</v>
      </c>
      <c r="D912">
        <v>20</v>
      </c>
      <c r="E912" t="s">
        <v>352</v>
      </c>
      <c r="F912" t="s">
        <v>348</v>
      </c>
      <c r="G912">
        <v>1</v>
      </c>
    </row>
    <row r="913" spans="1:7" x14ac:dyDescent="0.15">
      <c r="A913">
        <v>30700019</v>
      </c>
      <c r="B913">
        <v>4</v>
      </c>
      <c r="C913">
        <v>40</v>
      </c>
      <c r="D913">
        <v>40</v>
      </c>
      <c r="E913" t="s">
        <v>352</v>
      </c>
      <c r="F913" t="s">
        <v>348</v>
      </c>
      <c r="G913">
        <v>1</v>
      </c>
    </row>
    <row r="914" spans="1:7" x14ac:dyDescent="0.15">
      <c r="A914">
        <v>30700020</v>
      </c>
      <c r="B914">
        <v>5</v>
      </c>
      <c r="C914">
        <v>60</v>
      </c>
      <c r="D914">
        <v>60</v>
      </c>
      <c r="E914" t="s">
        <v>352</v>
      </c>
      <c r="F914" t="s">
        <v>348</v>
      </c>
      <c r="G914">
        <v>1</v>
      </c>
    </row>
    <row r="915" spans="1:7" x14ac:dyDescent="0.15">
      <c r="A915">
        <v>30703001</v>
      </c>
      <c r="B915">
        <v>2</v>
      </c>
      <c r="C915">
        <v>10</v>
      </c>
      <c r="D915">
        <v>10</v>
      </c>
      <c r="E915" t="s">
        <v>745</v>
      </c>
      <c r="F915" t="s">
        <v>359</v>
      </c>
      <c r="G915">
        <v>1</v>
      </c>
    </row>
    <row r="916" spans="1:7" x14ac:dyDescent="0.15">
      <c r="A916">
        <v>30703002</v>
      </c>
      <c r="B916">
        <v>1</v>
      </c>
      <c r="C916">
        <v>20</v>
      </c>
      <c r="D916">
        <v>20</v>
      </c>
      <c r="E916" t="s">
        <v>745</v>
      </c>
      <c r="F916" t="s">
        <v>359</v>
      </c>
      <c r="G916">
        <v>1</v>
      </c>
    </row>
    <row r="917" spans="1:7" x14ac:dyDescent="0.15">
      <c r="A917">
        <v>30703003</v>
      </c>
      <c r="B917">
        <v>4</v>
      </c>
      <c r="C917">
        <v>40</v>
      </c>
      <c r="D917">
        <v>40</v>
      </c>
      <c r="E917" t="s">
        <v>745</v>
      </c>
      <c r="F917" t="s">
        <v>359</v>
      </c>
      <c r="G917">
        <v>1</v>
      </c>
    </row>
    <row r="918" spans="1:7" x14ac:dyDescent="0.15">
      <c r="A918">
        <v>30703004</v>
      </c>
      <c r="B918">
        <v>5</v>
      </c>
      <c r="C918">
        <v>60</v>
      </c>
      <c r="D918">
        <v>60</v>
      </c>
      <c r="E918" t="s">
        <v>745</v>
      </c>
      <c r="F918" t="s">
        <v>359</v>
      </c>
      <c r="G918">
        <v>1</v>
      </c>
    </row>
    <row r="919" spans="1:7" x14ac:dyDescent="0.15">
      <c r="A919">
        <v>30703005</v>
      </c>
      <c r="B919">
        <v>2</v>
      </c>
      <c r="C919">
        <v>10</v>
      </c>
      <c r="D919">
        <v>10</v>
      </c>
      <c r="E919" t="s">
        <v>746</v>
      </c>
      <c r="F919" t="s">
        <v>359</v>
      </c>
      <c r="G919">
        <v>1</v>
      </c>
    </row>
    <row r="920" spans="1:7" x14ac:dyDescent="0.15">
      <c r="A920">
        <v>30703006</v>
      </c>
      <c r="B920">
        <v>1</v>
      </c>
      <c r="C920">
        <v>20</v>
      </c>
      <c r="D920">
        <v>20</v>
      </c>
      <c r="E920" t="s">
        <v>746</v>
      </c>
      <c r="F920" t="s">
        <v>359</v>
      </c>
      <c r="G920">
        <v>1</v>
      </c>
    </row>
    <row r="921" spans="1:7" x14ac:dyDescent="0.15">
      <c r="A921">
        <v>30703007</v>
      </c>
      <c r="B921">
        <v>4</v>
      </c>
      <c r="C921">
        <v>40</v>
      </c>
      <c r="D921">
        <v>40</v>
      </c>
      <c r="E921" t="s">
        <v>746</v>
      </c>
      <c r="F921" t="s">
        <v>359</v>
      </c>
      <c r="G921">
        <v>1</v>
      </c>
    </row>
    <row r="922" spans="1:7" x14ac:dyDescent="0.15">
      <c r="A922">
        <v>30703008</v>
      </c>
      <c r="B922">
        <v>5</v>
      </c>
      <c r="C922">
        <v>60</v>
      </c>
      <c r="D922">
        <v>60</v>
      </c>
      <c r="E922" t="s">
        <v>746</v>
      </c>
      <c r="F922" t="s">
        <v>359</v>
      </c>
      <c r="G922">
        <v>1</v>
      </c>
    </row>
    <row r="923" spans="1:7" x14ac:dyDescent="0.15">
      <c r="A923">
        <v>30704001</v>
      </c>
      <c r="B923">
        <v>2</v>
      </c>
      <c r="C923">
        <v>10</v>
      </c>
      <c r="D923">
        <v>10</v>
      </c>
      <c r="E923" t="s">
        <v>747</v>
      </c>
      <c r="F923" t="s">
        <v>360</v>
      </c>
      <c r="G923">
        <v>1</v>
      </c>
    </row>
    <row r="924" spans="1:7" x14ac:dyDescent="0.15">
      <c r="A924">
        <v>30704002</v>
      </c>
      <c r="B924">
        <v>1</v>
      </c>
      <c r="C924">
        <v>20</v>
      </c>
      <c r="D924">
        <v>20</v>
      </c>
      <c r="E924" t="s">
        <v>747</v>
      </c>
      <c r="F924" t="s">
        <v>360</v>
      </c>
      <c r="G924">
        <v>1</v>
      </c>
    </row>
    <row r="925" spans="1:7" x14ac:dyDescent="0.15">
      <c r="A925">
        <v>30704003</v>
      </c>
      <c r="B925">
        <v>4</v>
      </c>
      <c r="C925">
        <v>40</v>
      </c>
      <c r="D925">
        <v>40</v>
      </c>
      <c r="E925" t="s">
        <v>747</v>
      </c>
      <c r="F925" t="s">
        <v>360</v>
      </c>
      <c r="G925">
        <v>1</v>
      </c>
    </row>
    <row r="926" spans="1:7" x14ac:dyDescent="0.15">
      <c r="A926">
        <v>30704004</v>
      </c>
      <c r="B926">
        <v>5</v>
      </c>
      <c r="C926">
        <v>60</v>
      </c>
      <c r="D926">
        <v>60</v>
      </c>
      <c r="E926" t="s">
        <v>747</v>
      </c>
      <c r="F926" t="s">
        <v>360</v>
      </c>
      <c r="G926">
        <v>1</v>
      </c>
    </row>
    <row r="927" spans="1:7" x14ac:dyDescent="0.15">
      <c r="A927">
        <v>30704005</v>
      </c>
      <c r="B927">
        <v>2</v>
      </c>
      <c r="C927">
        <v>10</v>
      </c>
      <c r="D927">
        <v>10</v>
      </c>
      <c r="E927" t="s">
        <v>748</v>
      </c>
      <c r="F927" t="s">
        <v>360</v>
      </c>
      <c r="G927">
        <v>1</v>
      </c>
    </row>
    <row r="928" spans="1:7" x14ac:dyDescent="0.15">
      <c r="A928">
        <v>30704006</v>
      </c>
      <c r="B928">
        <v>1</v>
      </c>
      <c r="C928">
        <v>20</v>
      </c>
      <c r="D928">
        <v>20</v>
      </c>
      <c r="E928" t="s">
        <v>748</v>
      </c>
      <c r="F928" t="s">
        <v>360</v>
      </c>
      <c r="G928">
        <v>1</v>
      </c>
    </row>
    <row r="929" spans="1:7" x14ac:dyDescent="0.15">
      <c r="A929">
        <v>30704007</v>
      </c>
      <c r="B929">
        <v>4</v>
      </c>
      <c r="C929">
        <v>40</v>
      </c>
      <c r="D929">
        <v>40</v>
      </c>
      <c r="E929" t="s">
        <v>748</v>
      </c>
      <c r="F929" t="s">
        <v>360</v>
      </c>
      <c r="G929">
        <v>1</v>
      </c>
    </row>
    <row r="930" spans="1:7" x14ac:dyDescent="0.15">
      <c r="A930">
        <v>30704008</v>
      </c>
      <c r="B930">
        <v>5</v>
      </c>
      <c r="C930">
        <v>60</v>
      </c>
      <c r="D930">
        <v>60</v>
      </c>
      <c r="E930" t="s">
        <v>748</v>
      </c>
      <c r="F930" t="s">
        <v>360</v>
      </c>
      <c r="G930">
        <v>1</v>
      </c>
    </row>
    <row r="931" spans="1:7" x14ac:dyDescent="0.15">
      <c r="A931">
        <v>30704009</v>
      </c>
      <c r="B931">
        <v>2</v>
      </c>
      <c r="C931">
        <v>10</v>
      </c>
      <c r="D931">
        <v>10</v>
      </c>
      <c r="E931" t="s">
        <v>749</v>
      </c>
      <c r="F931" t="s">
        <v>360</v>
      </c>
      <c r="G931">
        <v>1</v>
      </c>
    </row>
    <row r="932" spans="1:7" x14ac:dyDescent="0.15">
      <c r="A932">
        <v>30704010</v>
      </c>
      <c r="B932">
        <v>1</v>
      </c>
      <c r="C932">
        <v>20</v>
      </c>
      <c r="D932">
        <v>20</v>
      </c>
      <c r="E932" t="s">
        <v>749</v>
      </c>
      <c r="F932" t="s">
        <v>360</v>
      </c>
      <c r="G932">
        <v>1</v>
      </c>
    </row>
    <row r="933" spans="1:7" x14ac:dyDescent="0.15">
      <c r="A933">
        <v>30704011</v>
      </c>
      <c r="B933">
        <v>4</v>
      </c>
      <c r="C933">
        <v>40</v>
      </c>
      <c r="D933">
        <v>40</v>
      </c>
      <c r="E933" t="s">
        <v>749</v>
      </c>
      <c r="F933" t="s">
        <v>360</v>
      </c>
      <c r="G933">
        <v>1</v>
      </c>
    </row>
    <row r="934" spans="1:7" x14ac:dyDescent="0.15">
      <c r="A934">
        <v>30704012</v>
      </c>
      <c r="B934">
        <v>5</v>
      </c>
      <c r="C934">
        <v>60</v>
      </c>
      <c r="D934">
        <v>60</v>
      </c>
      <c r="E934" t="s">
        <v>749</v>
      </c>
      <c r="F934" t="s">
        <v>360</v>
      </c>
      <c r="G934">
        <v>1</v>
      </c>
    </row>
    <row r="935" spans="1:7" x14ac:dyDescent="0.15">
      <c r="A935">
        <v>30705001</v>
      </c>
      <c r="B935">
        <v>2</v>
      </c>
      <c r="C935">
        <v>10</v>
      </c>
      <c r="D935">
        <v>10</v>
      </c>
      <c r="E935" t="s">
        <v>361</v>
      </c>
      <c r="F935" t="s">
        <v>362</v>
      </c>
      <c r="G935">
        <v>1</v>
      </c>
    </row>
    <row r="936" spans="1:7" x14ac:dyDescent="0.15">
      <c r="A936">
        <v>30705002</v>
      </c>
      <c r="B936">
        <v>1</v>
      </c>
      <c r="C936">
        <v>20</v>
      </c>
      <c r="D936">
        <v>20</v>
      </c>
      <c r="E936" t="s">
        <v>361</v>
      </c>
      <c r="F936" t="s">
        <v>362</v>
      </c>
      <c r="G936">
        <v>1</v>
      </c>
    </row>
    <row r="937" spans="1:7" x14ac:dyDescent="0.15">
      <c r="A937">
        <v>30705003</v>
      </c>
      <c r="B937">
        <v>4</v>
      </c>
      <c r="C937">
        <v>40</v>
      </c>
      <c r="D937">
        <v>40</v>
      </c>
      <c r="E937" t="s">
        <v>361</v>
      </c>
      <c r="F937" t="s">
        <v>362</v>
      </c>
      <c r="G937">
        <v>1</v>
      </c>
    </row>
    <row r="938" spans="1:7" x14ac:dyDescent="0.15">
      <c r="A938">
        <v>30705004</v>
      </c>
      <c r="B938">
        <v>5</v>
      </c>
      <c r="C938">
        <v>60</v>
      </c>
      <c r="D938">
        <v>60</v>
      </c>
      <c r="E938" t="s">
        <v>361</v>
      </c>
      <c r="F938" t="s">
        <v>362</v>
      </c>
      <c r="G938">
        <v>1</v>
      </c>
    </row>
    <row r="939" spans="1:7" x14ac:dyDescent="0.15">
      <c r="A939">
        <v>30801001</v>
      </c>
      <c r="B939">
        <v>2</v>
      </c>
      <c r="C939">
        <v>10</v>
      </c>
      <c r="D939">
        <v>10</v>
      </c>
      <c r="E939" t="s">
        <v>309</v>
      </c>
      <c r="F939" t="s">
        <v>310</v>
      </c>
      <c r="G939">
        <v>1</v>
      </c>
    </row>
    <row r="940" spans="1:7" x14ac:dyDescent="0.15">
      <c r="A940">
        <v>30801002</v>
      </c>
      <c r="B940">
        <v>1</v>
      </c>
      <c r="C940">
        <v>20</v>
      </c>
      <c r="D940">
        <v>20</v>
      </c>
      <c r="E940" t="s">
        <v>309</v>
      </c>
      <c r="F940" t="s">
        <v>310</v>
      </c>
      <c r="G940">
        <v>1</v>
      </c>
    </row>
    <row r="941" spans="1:7" x14ac:dyDescent="0.15">
      <c r="A941">
        <v>30801013</v>
      </c>
      <c r="B941">
        <v>1</v>
      </c>
      <c r="C941">
        <v>20</v>
      </c>
      <c r="D941">
        <v>20</v>
      </c>
      <c r="E941" t="s">
        <v>309</v>
      </c>
      <c r="F941" t="s">
        <v>310</v>
      </c>
      <c r="G941">
        <v>0</v>
      </c>
    </row>
    <row r="942" spans="1:7" x14ac:dyDescent="0.15">
      <c r="A942">
        <v>30801003</v>
      </c>
      <c r="B942">
        <v>4</v>
      </c>
      <c r="C942">
        <v>40</v>
      </c>
      <c r="D942">
        <v>40</v>
      </c>
      <c r="E942" t="s">
        <v>309</v>
      </c>
      <c r="F942" t="s">
        <v>310</v>
      </c>
      <c r="G942">
        <v>1</v>
      </c>
    </row>
    <row r="943" spans="1:7" x14ac:dyDescent="0.15">
      <c r="A943">
        <v>30801004</v>
      </c>
      <c r="B943">
        <v>5</v>
      </c>
      <c r="C943">
        <v>60</v>
      </c>
      <c r="D943">
        <v>60</v>
      </c>
      <c r="E943" t="s">
        <v>309</v>
      </c>
      <c r="F943" t="s">
        <v>310</v>
      </c>
      <c r="G943">
        <v>1</v>
      </c>
    </row>
    <row r="944" spans="1:7" x14ac:dyDescent="0.15">
      <c r="A944">
        <v>30801005</v>
      </c>
      <c r="B944">
        <v>2</v>
      </c>
      <c r="C944">
        <v>10</v>
      </c>
      <c r="D944">
        <v>10</v>
      </c>
      <c r="E944" t="s">
        <v>311</v>
      </c>
      <c r="F944" t="s">
        <v>310</v>
      </c>
      <c r="G944">
        <v>1</v>
      </c>
    </row>
    <row r="945" spans="1:7" x14ac:dyDescent="0.15">
      <c r="A945">
        <v>30801006</v>
      </c>
      <c r="B945">
        <v>1</v>
      </c>
      <c r="C945">
        <v>20</v>
      </c>
      <c r="D945">
        <v>20</v>
      </c>
      <c r="E945" t="s">
        <v>311</v>
      </c>
      <c r="F945" t="s">
        <v>310</v>
      </c>
      <c r="G945">
        <v>1</v>
      </c>
    </row>
    <row r="946" spans="1:7" x14ac:dyDescent="0.15">
      <c r="A946">
        <v>30801007</v>
      </c>
      <c r="B946">
        <v>4</v>
      </c>
      <c r="C946">
        <v>40</v>
      </c>
      <c r="D946">
        <v>40</v>
      </c>
      <c r="E946" t="s">
        <v>311</v>
      </c>
      <c r="F946" t="s">
        <v>310</v>
      </c>
      <c r="G946">
        <v>1</v>
      </c>
    </row>
    <row r="947" spans="1:7" x14ac:dyDescent="0.15">
      <c r="A947">
        <v>30801008</v>
      </c>
      <c r="B947">
        <v>5</v>
      </c>
      <c r="C947">
        <v>60</v>
      </c>
      <c r="D947">
        <v>60</v>
      </c>
      <c r="E947" t="s">
        <v>311</v>
      </c>
      <c r="F947" t="s">
        <v>310</v>
      </c>
      <c r="G947">
        <v>1</v>
      </c>
    </row>
    <row r="948" spans="1:7" x14ac:dyDescent="0.15">
      <c r="A948">
        <v>30801009</v>
      </c>
      <c r="B948">
        <v>2</v>
      </c>
      <c r="C948">
        <v>10</v>
      </c>
      <c r="D948">
        <v>10</v>
      </c>
      <c r="E948" t="s">
        <v>312</v>
      </c>
      <c r="F948" t="s">
        <v>310</v>
      </c>
      <c r="G948">
        <v>1</v>
      </c>
    </row>
    <row r="949" spans="1:7" x14ac:dyDescent="0.15">
      <c r="A949">
        <v>30801010</v>
      </c>
      <c r="B949">
        <v>1</v>
      </c>
      <c r="C949">
        <v>20</v>
      </c>
      <c r="D949">
        <v>20</v>
      </c>
      <c r="E949" t="s">
        <v>312</v>
      </c>
      <c r="F949" t="s">
        <v>310</v>
      </c>
      <c r="G949">
        <v>1</v>
      </c>
    </row>
    <row r="950" spans="1:7" x14ac:dyDescent="0.15">
      <c r="A950">
        <v>30801011</v>
      </c>
      <c r="B950">
        <v>4</v>
      </c>
      <c r="C950">
        <v>40</v>
      </c>
      <c r="D950">
        <v>40</v>
      </c>
      <c r="E950" t="s">
        <v>312</v>
      </c>
      <c r="F950" t="s">
        <v>310</v>
      </c>
      <c r="G950">
        <v>1</v>
      </c>
    </row>
    <row r="951" spans="1:7" x14ac:dyDescent="0.15">
      <c r="A951">
        <v>30801012</v>
      </c>
      <c r="B951">
        <v>5</v>
      </c>
      <c r="C951">
        <v>60</v>
      </c>
      <c r="D951">
        <v>60</v>
      </c>
      <c r="E951" t="s">
        <v>312</v>
      </c>
      <c r="F951" t="s">
        <v>310</v>
      </c>
      <c r="G951">
        <v>1</v>
      </c>
    </row>
    <row r="952" spans="1:7" x14ac:dyDescent="0.15">
      <c r="A952">
        <v>30802001</v>
      </c>
      <c r="B952">
        <v>2</v>
      </c>
      <c r="C952">
        <v>10</v>
      </c>
      <c r="D952">
        <v>10</v>
      </c>
      <c r="E952" t="s">
        <v>313</v>
      </c>
      <c r="F952" t="s">
        <v>314</v>
      </c>
      <c r="G952">
        <v>1</v>
      </c>
    </row>
    <row r="953" spans="1:7" x14ac:dyDescent="0.15">
      <c r="A953">
        <v>30802002</v>
      </c>
      <c r="B953">
        <v>1</v>
      </c>
      <c r="C953">
        <v>20</v>
      </c>
      <c r="D953">
        <v>20</v>
      </c>
      <c r="E953" t="s">
        <v>313</v>
      </c>
      <c r="F953" t="s">
        <v>314</v>
      </c>
      <c r="G953">
        <v>1</v>
      </c>
    </row>
    <row r="954" spans="1:7" x14ac:dyDescent="0.15">
      <c r="A954">
        <v>30802003</v>
      </c>
      <c r="B954">
        <v>4</v>
      </c>
      <c r="C954">
        <v>40</v>
      </c>
      <c r="D954">
        <v>40</v>
      </c>
      <c r="E954" t="s">
        <v>313</v>
      </c>
      <c r="F954" t="s">
        <v>314</v>
      </c>
      <c r="G954">
        <v>1</v>
      </c>
    </row>
    <row r="955" spans="1:7" x14ac:dyDescent="0.15">
      <c r="A955">
        <v>30802004</v>
      </c>
      <c r="B955">
        <v>5</v>
      </c>
      <c r="C955">
        <v>60</v>
      </c>
      <c r="D955">
        <v>60</v>
      </c>
      <c r="E955" t="s">
        <v>313</v>
      </c>
      <c r="F955" t="s">
        <v>314</v>
      </c>
      <c r="G955">
        <v>1</v>
      </c>
    </row>
    <row r="956" spans="1:7" x14ac:dyDescent="0.15">
      <c r="A956">
        <v>30802005</v>
      </c>
      <c r="B956">
        <v>2</v>
      </c>
      <c r="C956">
        <v>10</v>
      </c>
      <c r="D956">
        <v>10</v>
      </c>
      <c r="E956" t="s">
        <v>315</v>
      </c>
      <c r="F956" t="s">
        <v>314</v>
      </c>
      <c r="G956">
        <v>1</v>
      </c>
    </row>
    <row r="957" spans="1:7" x14ac:dyDescent="0.15">
      <c r="A957">
        <v>30802006</v>
      </c>
      <c r="B957">
        <v>1</v>
      </c>
      <c r="C957">
        <v>20</v>
      </c>
      <c r="D957">
        <v>20</v>
      </c>
      <c r="E957" t="s">
        <v>315</v>
      </c>
      <c r="F957" t="s">
        <v>314</v>
      </c>
      <c r="G957">
        <v>1</v>
      </c>
    </row>
    <row r="958" spans="1:7" x14ac:dyDescent="0.15">
      <c r="A958">
        <v>30802007</v>
      </c>
      <c r="B958">
        <v>4</v>
      </c>
      <c r="C958">
        <v>40</v>
      </c>
      <c r="D958">
        <v>40</v>
      </c>
      <c r="E958" t="s">
        <v>315</v>
      </c>
      <c r="F958" t="s">
        <v>314</v>
      </c>
      <c r="G958">
        <v>1</v>
      </c>
    </row>
    <row r="959" spans="1:7" x14ac:dyDescent="0.15">
      <c r="A959">
        <v>30802008</v>
      </c>
      <c r="B959">
        <v>5</v>
      </c>
      <c r="C959">
        <v>60</v>
      </c>
      <c r="D959">
        <v>60</v>
      </c>
      <c r="E959" t="s">
        <v>315</v>
      </c>
      <c r="F959" t="s">
        <v>314</v>
      </c>
      <c r="G959">
        <v>1</v>
      </c>
    </row>
    <row r="960" spans="1:7" x14ac:dyDescent="0.15">
      <c r="A960">
        <v>30802009</v>
      </c>
      <c r="B960">
        <v>2</v>
      </c>
      <c r="C960">
        <v>10</v>
      </c>
      <c r="D960">
        <v>10</v>
      </c>
      <c r="E960" t="s">
        <v>316</v>
      </c>
      <c r="F960" t="s">
        <v>314</v>
      </c>
      <c r="G960">
        <v>1</v>
      </c>
    </row>
    <row r="961" spans="1:7" x14ac:dyDescent="0.15">
      <c r="A961">
        <v>30802010</v>
      </c>
      <c r="B961">
        <v>1</v>
      </c>
      <c r="C961">
        <v>20</v>
      </c>
      <c r="D961">
        <v>20</v>
      </c>
      <c r="E961" t="s">
        <v>316</v>
      </c>
      <c r="F961" t="s">
        <v>314</v>
      </c>
      <c r="G961">
        <v>1</v>
      </c>
    </row>
    <row r="962" spans="1:7" x14ac:dyDescent="0.15">
      <c r="A962">
        <v>30802011</v>
      </c>
      <c r="B962">
        <v>4</v>
      </c>
      <c r="C962">
        <v>40</v>
      </c>
      <c r="D962">
        <v>40</v>
      </c>
      <c r="E962" t="s">
        <v>316</v>
      </c>
      <c r="F962" t="s">
        <v>314</v>
      </c>
      <c r="G962">
        <v>1</v>
      </c>
    </row>
    <row r="963" spans="1:7" x14ac:dyDescent="0.15">
      <c r="A963">
        <v>30802012</v>
      </c>
      <c r="B963">
        <v>5</v>
      </c>
      <c r="C963">
        <v>60</v>
      </c>
      <c r="D963">
        <v>60</v>
      </c>
      <c r="E963" t="s">
        <v>316</v>
      </c>
      <c r="F963" t="s">
        <v>314</v>
      </c>
      <c r="G963">
        <v>1</v>
      </c>
    </row>
    <row r="964" spans="1:7" x14ac:dyDescent="0.15">
      <c r="A964">
        <v>30803001</v>
      </c>
      <c r="B964">
        <v>2</v>
      </c>
      <c r="C964">
        <v>10</v>
      </c>
      <c r="D964">
        <v>10</v>
      </c>
      <c r="E964" t="s">
        <v>317</v>
      </c>
      <c r="F964" t="s">
        <v>318</v>
      </c>
      <c r="G964">
        <v>1</v>
      </c>
    </row>
    <row r="965" spans="1:7" x14ac:dyDescent="0.15">
      <c r="A965">
        <v>30803002</v>
      </c>
      <c r="B965">
        <v>1</v>
      </c>
      <c r="C965">
        <v>20</v>
      </c>
      <c r="D965">
        <v>20</v>
      </c>
      <c r="E965" t="s">
        <v>317</v>
      </c>
      <c r="F965" t="s">
        <v>318</v>
      </c>
      <c r="G965">
        <v>1</v>
      </c>
    </row>
    <row r="966" spans="1:7" x14ac:dyDescent="0.15">
      <c r="A966">
        <v>30803003</v>
      </c>
      <c r="B966">
        <v>4</v>
      </c>
      <c r="C966">
        <v>40</v>
      </c>
      <c r="D966">
        <v>40</v>
      </c>
      <c r="E966" t="s">
        <v>317</v>
      </c>
      <c r="F966" t="s">
        <v>318</v>
      </c>
      <c r="G966">
        <v>1</v>
      </c>
    </row>
    <row r="967" spans="1:7" x14ac:dyDescent="0.15">
      <c r="A967">
        <v>30803004</v>
      </c>
      <c r="B967">
        <v>5</v>
      </c>
      <c r="C967">
        <v>60</v>
      </c>
      <c r="D967">
        <v>60</v>
      </c>
      <c r="E967" t="s">
        <v>317</v>
      </c>
      <c r="F967" t="s">
        <v>318</v>
      </c>
      <c r="G967">
        <v>1</v>
      </c>
    </row>
    <row r="968" spans="1:7" x14ac:dyDescent="0.15">
      <c r="A968">
        <v>30803005</v>
      </c>
      <c r="B968">
        <v>2</v>
      </c>
      <c r="C968">
        <v>10</v>
      </c>
      <c r="D968">
        <v>10</v>
      </c>
      <c r="E968" t="s">
        <v>750</v>
      </c>
      <c r="F968" t="s">
        <v>318</v>
      </c>
      <c r="G968">
        <v>1</v>
      </c>
    </row>
    <row r="969" spans="1:7" x14ac:dyDescent="0.15">
      <c r="A969">
        <v>30803006</v>
      </c>
      <c r="B969">
        <v>1</v>
      </c>
      <c r="C969">
        <v>20</v>
      </c>
      <c r="D969">
        <v>20</v>
      </c>
      <c r="E969" t="s">
        <v>750</v>
      </c>
      <c r="F969" t="s">
        <v>318</v>
      </c>
      <c r="G969">
        <v>1</v>
      </c>
    </row>
    <row r="970" spans="1:7" x14ac:dyDescent="0.15">
      <c r="A970">
        <v>30803007</v>
      </c>
      <c r="B970">
        <v>4</v>
      </c>
      <c r="C970">
        <v>40</v>
      </c>
      <c r="D970">
        <v>40</v>
      </c>
      <c r="E970" t="s">
        <v>750</v>
      </c>
      <c r="F970" t="s">
        <v>318</v>
      </c>
      <c r="G970">
        <v>1</v>
      </c>
    </row>
    <row r="971" spans="1:7" x14ac:dyDescent="0.15">
      <c r="A971">
        <v>30803008</v>
      </c>
      <c r="B971">
        <v>5</v>
      </c>
      <c r="C971">
        <v>60</v>
      </c>
      <c r="D971">
        <v>60</v>
      </c>
      <c r="E971" t="s">
        <v>750</v>
      </c>
      <c r="F971" t="s">
        <v>318</v>
      </c>
      <c r="G971">
        <v>1</v>
      </c>
    </row>
    <row r="972" spans="1:7" x14ac:dyDescent="0.15">
      <c r="A972">
        <v>30803009</v>
      </c>
      <c r="B972">
        <v>2</v>
      </c>
      <c r="C972">
        <v>10</v>
      </c>
      <c r="D972">
        <v>10</v>
      </c>
      <c r="E972" t="s">
        <v>319</v>
      </c>
      <c r="F972" t="s">
        <v>318</v>
      </c>
      <c r="G972">
        <v>1</v>
      </c>
    </row>
    <row r="973" spans="1:7" x14ac:dyDescent="0.15">
      <c r="A973">
        <v>30803010</v>
      </c>
      <c r="B973">
        <v>1</v>
      </c>
      <c r="C973">
        <v>20</v>
      </c>
      <c r="D973">
        <v>20</v>
      </c>
      <c r="E973" t="s">
        <v>319</v>
      </c>
      <c r="F973" t="s">
        <v>318</v>
      </c>
      <c r="G973">
        <v>1</v>
      </c>
    </row>
    <row r="974" spans="1:7" x14ac:dyDescent="0.15">
      <c r="A974">
        <v>30803011</v>
      </c>
      <c r="B974">
        <v>4</v>
      </c>
      <c r="C974">
        <v>40</v>
      </c>
      <c r="D974">
        <v>40</v>
      </c>
      <c r="E974" t="s">
        <v>319</v>
      </c>
      <c r="F974" t="s">
        <v>318</v>
      </c>
      <c r="G974">
        <v>1</v>
      </c>
    </row>
    <row r="975" spans="1:7" x14ac:dyDescent="0.15">
      <c r="A975">
        <v>30803012</v>
      </c>
      <c r="B975">
        <v>5</v>
      </c>
      <c r="C975">
        <v>60</v>
      </c>
      <c r="D975">
        <v>60</v>
      </c>
      <c r="E975" t="s">
        <v>319</v>
      </c>
      <c r="F975" t="s">
        <v>318</v>
      </c>
      <c r="G975">
        <v>1</v>
      </c>
    </row>
    <row r="976" spans="1:7" x14ac:dyDescent="0.15">
      <c r="A976">
        <v>30803013</v>
      </c>
      <c r="B976">
        <v>2</v>
      </c>
      <c r="C976">
        <v>10</v>
      </c>
      <c r="D976">
        <v>10</v>
      </c>
      <c r="E976" t="s">
        <v>751</v>
      </c>
      <c r="F976" t="s">
        <v>318</v>
      </c>
      <c r="G976">
        <v>0</v>
      </c>
    </row>
    <row r="977" spans="1:7" x14ac:dyDescent="0.15">
      <c r="A977">
        <v>30803014</v>
      </c>
      <c r="B977">
        <v>2</v>
      </c>
      <c r="C977">
        <v>10</v>
      </c>
      <c r="D977">
        <v>10</v>
      </c>
      <c r="E977" t="s">
        <v>752</v>
      </c>
      <c r="F977" t="s">
        <v>318</v>
      </c>
      <c r="G977">
        <v>0</v>
      </c>
    </row>
    <row r="978" spans="1:7" x14ac:dyDescent="0.15">
      <c r="A978">
        <v>30803015</v>
      </c>
      <c r="B978">
        <v>2</v>
      </c>
      <c r="C978">
        <v>10</v>
      </c>
      <c r="D978">
        <v>10</v>
      </c>
      <c r="E978" t="s">
        <v>753</v>
      </c>
      <c r="F978" t="s">
        <v>318</v>
      </c>
      <c r="G978">
        <v>0</v>
      </c>
    </row>
    <row r="979" spans="1:7" x14ac:dyDescent="0.15">
      <c r="A979">
        <v>30801201</v>
      </c>
      <c r="B979">
        <v>1</v>
      </c>
      <c r="C979">
        <v>5</v>
      </c>
      <c r="D979">
        <v>5</v>
      </c>
      <c r="E979" t="s">
        <v>754</v>
      </c>
      <c r="F979" t="s">
        <v>755</v>
      </c>
      <c r="G979">
        <v>0</v>
      </c>
    </row>
    <row r="980" spans="1:7" x14ac:dyDescent="0.15">
      <c r="A980">
        <v>30802201</v>
      </c>
      <c r="B980">
        <v>1</v>
      </c>
      <c r="C980">
        <v>5</v>
      </c>
      <c r="D980">
        <v>5</v>
      </c>
      <c r="E980" t="s">
        <v>756</v>
      </c>
      <c r="F980" t="s">
        <v>757</v>
      </c>
      <c r="G980">
        <v>0</v>
      </c>
    </row>
    <row r="981" spans="1:7" x14ac:dyDescent="0.15">
      <c r="A981">
        <v>30803201</v>
      </c>
      <c r="B981">
        <v>1</v>
      </c>
      <c r="C981">
        <v>5</v>
      </c>
      <c r="D981">
        <v>5</v>
      </c>
      <c r="E981" t="s">
        <v>758</v>
      </c>
      <c r="F981" t="s">
        <v>759</v>
      </c>
      <c r="G981">
        <v>0</v>
      </c>
    </row>
    <row r="982" spans="1:7" x14ac:dyDescent="0.15">
      <c r="A982">
        <v>30100201</v>
      </c>
      <c r="B982">
        <v>1</v>
      </c>
      <c r="C982">
        <v>5</v>
      </c>
      <c r="D982">
        <v>5</v>
      </c>
      <c r="E982" t="s">
        <v>760</v>
      </c>
      <c r="F982" t="s">
        <v>761</v>
      </c>
      <c r="G982">
        <v>0</v>
      </c>
    </row>
    <row r="983" spans="1:7" x14ac:dyDescent="0.15">
      <c r="A983">
        <v>30200201</v>
      </c>
      <c r="B983">
        <v>1</v>
      </c>
      <c r="C983">
        <v>5</v>
      </c>
      <c r="D983">
        <v>5</v>
      </c>
      <c r="E983" t="s">
        <v>321</v>
      </c>
      <c r="F983" t="s">
        <v>762</v>
      </c>
      <c r="G983">
        <v>0</v>
      </c>
    </row>
    <row r="984" spans="1:7" x14ac:dyDescent="0.15">
      <c r="A984">
        <v>30200202</v>
      </c>
      <c r="B984">
        <v>1</v>
      </c>
      <c r="C984">
        <v>5</v>
      </c>
      <c r="D984">
        <v>5</v>
      </c>
      <c r="E984" t="s">
        <v>323</v>
      </c>
      <c r="F984" t="s">
        <v>762</v>
      </c>
      <c r="G984">
        <v>0</v>
      </c>
    </row>
    <row r="985" spans="1:7" x14ac:dyDescent="0.15">
      <c r="A985">
        <v>30200203</v>
      </c>
      <c r="B985">
        <v>1</v>
      </c>
      <c r="C985">
        <v>5</v>
      </c>
      <c r="D985">
        <v>5</v>
      </c>
      <c r="E985" t="s">
        <v>324</v>
      </c>
      <c r="F985" t="s">
        <v>762</v>
      </c>
      <c r="G985">
        <v>0</v>
      </c>
    </row>
    <row r="986" spans="1:7" x14ac:dyDescent="0.15">
      <c r="A986">
        <v>30200204</v>
      </c>
      <c r="B986">
        <v>1</v>
      </c>
      <c r="C986">
        <v>5</v>
      </c>
      <c r="D986">
        <v>5</v>
      </c>
      <c r="E986" t="s">
        <v>325</v>
      </c>
      <c r="F986" t="s">
        <v>762</v>
      </c>
      <c r="G986">
        <v>0</v>
      </c>
    </row>
    <row r="987" spans="1:7" x14ac:dyDescent="0.15">
      <c r="A987">
        <v>30200205</v>
      </c>
      <c r="B987">
        <v>1</v>
      </c>
      <c r="C987">
        <v>5</v>
      </c>
      <c r="D987">
        <v>5</v>
      </c>
      <c r="E987" t="s">
        <v>326</v>
      </c>
      <c r="F987" t="s">
        <v>762</v>
      </c>
      <c r="G987">
        <v>0</v>
      </c>
    </row>
    <row r="988" spans="1:7" x14ac:dyDescent="0.15">
      <c r="A988">
        <v>30200206</v>
      </c>
      <c r="B988">
        <v>1</v>
      </c>
      <c r="C988">
        <v>5</v>
      </c>
      <c r="D988">
        <v>5</v>
      </c>
      <c r="E988" t="s">
        <v>327</v>
      </c>
      <c r="F988" t="s">
        <v>762</v>
      </c>
      <c r="G988">
        <v>0</v>
      </c>
    </row>
    <row r="989" spans="1:7" x14ac:dyDescent="0.15">
      <c r="A989">
        <v>30401201</v>
      </c>
      <c r="B989">
        <v>1</v>
      </c>
      <c r="C989">
        <v>5</v>
      </c>
      <c r="D989">
        <v>5</v>
      </c>
      <c r="E989" t="s">
        <v>763</v>
      </c>
      <c r="F989" t="s">
        <v>764</v>
      </c>
      <c r="G989">
        <v>0</v>
      </c>
    </row>
    <row r="990" spans="1:7" x14ac:dyDescent="0.15">
      <c r="A990">
        <v>30401202</v>
      </c>
      <c r="B990">
        <v>1</v>
      </c>
      <c r="C990">
        <v>5</v>
      </c>
      <c r="D990">
        <v>5</v>
      </c>
      <c r="E990" t="s">
        <v>358</v>
      </c>
      <c r="F990" t="s">
        <v>765</v>
      </c>
      <c r="G990">
        <v>0</v>
      </c>
    </row>
    <row r="991" spans="1:7" x14ac:dyDescent="0.15">
      <c r="A991">
        <v>30500201</v>
      </c>
      <c r="B991">
        <v>1</v>
      </c>
      <c r="C991">
        <v>5</v>
      </c>
      <c r="D991">
        <v>5</v>
      </c>
      <c r="E991" t="s">
        <v>766</v>
      </c>
      <c r="F991" t="s">
        <v>767</v>
      </c>
      <c r="G991">
        <v>0</v>
      </c>
    </row>
    <row r="992" spans="1:7" x14ac:dyDescent="0.15">
      <c r="A992">
        <v>30703201</v>
      </c>
      <c r="B992">
        <v>1</v>
      </c>
      <c r="C992">
        <v>5</v>
      </c>
      <c r="D992">
        <v>5</v>
      </c>
      <c r="E992" t="s">
        <v>768</v>
      </c>
      <c r="F992" t="s">
        <v>769</v>
      </c>
      <c r="G992">
        <v>0</v>
      </c>
    </row>
    <row r="993" spans="1:7" x14ac:dyDescent="0.15">
      <c r="A993">
        <v>30704201</v>
      </c>
      <c r="B993">
        <v>1</v>
      </c>
      <c r="C993">
        <v>5</v>
      </c>
      <c r="D993">
        <v>5</v>
      </c>
      <c r="E993" t="s">
        <v>770</v>
      </c>
      <c r="F993" t="s">
        <v>771</v>
      </c>
      <c r="G993">
        <v>0</v>
      </c>
    </row>
    <row r="994" spans="1:7" x14ac:dyDescent="0.15">
      <c r="A994">
        <v>30300201</v>
      </c>
      <c r="B994">
        <v>1</v>
      </c>
      <c r="C994">
        <v>5</v>
      </c>
      <c r="D994">
        <v>5</v>
      </c>
      <c r="E994" t="s">
        <v>328</v>
      </c>
      <c r="F994" t="s">
        <v>329</v>
      </c>
      <c r="G994">
        <v>0</v>
      </c>
    </row>
    <row r="995" spans="1:7" x14ac:dyDescent="0.15">
      <c r="A995">
        <v>30300202</v>
      </c>
      <c r="B995">
        <v>1</v>
      </c>
      <c r="C995">
        <v>5</v>
      </c>
      <c r="D995">
        <v>5</v>
      </c>
      <c r="E995" t="s">
        <v>330</v>
      </c>
      <c r="F995" t="s">
        <v>329</v>
      </c>
      <c r="G995">
        <v>0</v>
      </c>
    </row>
    <row r="996" spans="1:7" x14ac:dyDescent="0.15">
      <c r="A996">
        <v>30300203</v>
      </c>
      <c r="B996">
        <v>1</v>
      </c>
      <c r="C996">
        <v>5</v>
      </c>
      <c r="D996">
        <v>5</v>
      </c>
      <c r="E996" t="s">
        <v>332</v>
      </c>
      <c r="F996" t="s">
        <v>329</v>
      </c>
      <c r="G996">
        <v>0</v>
      </c>
    </row>
    <row r="997" spans="1:7" x14ac:dyDescent="0.15">
      <c r="A997">
        <v>30300204</v>
      </c>
      <c r="B997">
        <v>1</v>
      </c>
      <c r="C997">
        <v>5</v>
      </c>
      <c r="D997">
        <v>5</v>
      </c>
      <c r="E997" t="s">
        <v>334</v>
      </c>
      <c r="F997" t="s">
        <v>329</v>
      </c>
      <c r="G997">
        <v>0</v>
      </c>
    </row>
    <row r="998" spans="1:7" x14ac:dyDescent="0.15">
      <c r="A998">
        <v>30300205</v>
      </c>
      <c r="B998">
        <v>1</v>
      </c>
      <c r="C998">
        <v>5</v>
      </c>
      <c r="D998">
        <v>5</v>
      </c>
      <c r="E998" t="s">
        <v>333</v>
      </c>
      <c r="F998" t="s">
        <v>329</v>
      </c>
      <c r="G998">
        <v>0</v>
      </c>
    </row>
    <row r="999" spans="1:7" x14ac:dyDescent="0.15">
      <c r="A999">
        <v>30301201</v>
      </c>
      <c r="B999">
        <v>1</v>
      </c>
      <c r="C999">
        <v>5</v>
      </c>
      <c r="D999">
        <v>5</v>
      </c>
      <c r="E999" t="s">
        <v>335</v>
      </c>
      <c r="F999" t="s">
        <v>772</v>
      </c>
      <c r="G999">
        <v>0</v>
      </c>
    </row>
    <row r="1000" spans="1:7" x14ac:dyDescent="0.15">
      <c r="A1000">
        <v>30301202</v>
      </c>
      <c r="B1000">
        <v>1</v>
      </c>
      <c r="C1000">
        <v>5</v>
      </c>
      <c r="D1000">
        <v>5</v>
      </c>
      <c r="E1000" t="s">
        <v>337</v>
      </c>
      <c r="F1000" t="s">
        <v>772</v>
      </c>
      <c r="G1000">
        <v>0</v>
      </c>
    </row>
    <row r="1001" spans="1:7" x14ac:dyDescent="0.15">
      <c r="A1001">
        <v>30301203</v>
      </c>
      <c r="B1001">
        <v>1</v>
      </c>
      <c r="C1001">
        <v>5</v>
      </c>
      <c r="D1001">
        <v>5</v>
      </c>
      <c r="E1001" t="s">
        <v>339</v>
      </c>
      <c r="F1001" t="s">
        <v>772</v>
      </c>
      <c r="G1001">
        <v>0</v>
      </c>
    </row>
    <row r="1002" spans="1:7" x14ac:dyDescent="0.15">
      <c r="A1002">
        <v>30301204</v>
      </c>
      <c r="B1002">
        <v>1</v>
      </c>
      <c r="C1002">
        <v>5</v>
      </c>
      <c r="D1002">
        <v>5</v>
      </c>
      <c r="E1002" t="s">
        <v>341</v>
      </c>
      <c r="F1002" t="s">
        <v>772</v>
      </c>
      <c r="G1002">
        <v>0</v>
      </c>
    </row>
    <row r="1003" spans="1:7" x14ac:dyDescent="0.15">
      <c r="A1003">
        <v>30301205</v>
      </c>
      <c r="B1003">
        <v>1</v>
      </c>
      <c r="C1003">
        <v>5</v>
      </c>
      <c r="D1003">
        <v>5</v>
      </c>
      <c r="E1003" t="s">
        <v>340</v>
      </c>
      <c r="F1003" t="s">
        <v>772</v>
      </c>
      <c r="G1003">
        <v>0</v>
      </c>
    </row>
    <row r="1004" spans="1:7" x14ac:dyDescent="0.15">
      <c r="A1004">
        <v>60000001</v>
      </c>
      <c r="B1004">
        <v>1</v>
      </c>
      <c r="C1004">
        <v>0</v>
      </c>
      <c r="D1004" t="e">
        <v>#N/A</v>
      </c>
      <c r="E1004" t="s">
        <v>773</v>
      </c>
      <c r="G1004">
        <v>0</v>
      </c>
    </row>
    <row r="1005" spans="1:7" x14ac:dyDescent="0.15">
      <c r="A1005">
        <v>60000002</v>
      </c>
      <c r="B1005">
        <v>1</v>
      </c>
      <c r="C1005">
        <v>0</v>
      </c>
      <c r="D1005" t="e">
        <v>#N/A</v>
      </c>
      <c r="E1005" t="s">
        <v>774</v>
      </c>
      <c r="G1005">
        <v>0</v>
      </c>
    </row>
    <row r="1006" spans="1:7" x14ac:dyDescent="0.15">
      <c r="A1006">
        <v>60000003</v>
      </c>
      <c r="B1006">
        <v>1</v>
      </c>
      <c r="C1006">
        <v>0</v>
      </c>
      <c r="D1006" t="e">
        <v>#N/A</v>
      </c>
      <c r="E1006" t="s">
        <v>775</v>
      </c>
      <c r="G1006">
        <v>0</v>
      </c>
    </row>
    <row r="1007" spans="1:7" x14ac:dyDescent="0.15">
      <c r="A1007">
        <v>60000004</v>
      </c>
      <c r="B1007">
        <v>1</v>
      </c>
      <c r="C1007">
        <v>0</v>
      </c>
      <c r="D1007" t="e">
        <v>#N/A</v>
      </c>
      <c r="E1007" t="s">
        <v>776</v>
      </c>
      <c r="G1007">
        <v>0</v>
      </c>
    </row>
    <row r="1008" spans="1:7" x14ac:dyDescent="0.15">
      <c r="A1008">
        <v>60000005</v>
      </c>
      <c r="B1008">
        <v>1</v>
      </c>
      <c r="C1008">
        <v>0</v>
      </c>
      <c r="D1008" t="e">
        <v>#N/A</v>
      </c>
      <c r="E1008" t="s">
        <v>777</v>
      </c>
      <c r="G1008">
        <v>0</v>
      </c>
    </row>
    <row r="1009" spans="1:7" x14ac:dyDescent="0.15">
      <c r="A1009">
        <v>60000006</v>
      </c>
      <c r="B1009">
        <v>1</v>
      </c>
      <c r="C1009">
        <v>0</v>
      </c>
      <c r="D1009" t="e">
        <v>#N/A</v>
      </c>
      <c r="E1009" t="s">
        <v>778</v>
      </c>
      <c r="G1009">
        <v>0</v>
      </c>
    </row>
    <row r="1010" spans="1:7" x14ac:dyDescent="0.15">
      <c r="A1010">
        <v>60000007</v>
      </c>
      <c r="B1010">
        <v>1</v>
      </c>
      <c r="C1010">
        <v>0</v>
      </c>
      <c r="D1010" t="e">
        <v>#N/A</v>
      </c>
      <c r="E1010" t="s">
        <v>779</v>
      </c>
      <c r="G1010">
        <v>0</v>
      </c>
    </row>
    <row r="1011" spans="1:7" x14ac:dyDescent="0.15">
      <c r="A1011">
        <v>60000101</v>
      </c>
      <c r="B1011">
        <v>1</v>
      </c>
      <c r="C1011">
        <v>0</v>
      </c>
      <c r="D1011" t="e">
        <v>#N/A</v>
      </c>
      <c r="E1011" t="s">
        <v>780</v>
      </c>
      <c r="G1011">
        <v>0</v>
      </c>
    </row>
    <row r="1012" spans="1:7" x14ac:dyDescent="0.15">
      <c r="A1012">
        <v>60000008</v>
      </c>
      <c r="B1012">
        <v>1</v>
      </c>
      <c r="C1012">
        <v>0</v>
      </c>
      <c r="D1012" t="e">
        <v>#N/A</v>
      </c>
      <c r="E1012" t="s">
        <v>781</v>
      </c>
      <c r="G1012">
        <v>0</v>
      </c>
    </row>
    <row r="1013" spans="1:7" x14ac:dyDescent="0.15">
      <c r="A1013">
        <v>60000010</v>
      </c>
      <c r="B1013">
        <v>1</v>
      </c>
      <c r="C1013">
        <v>0</v>
      </c>
      <c r="D1013" t="e">
        <v>#N/A</v>
      </c>
      <c r="E1013" t="s">
        <v>782</v>
      </c>
      <c r="G1013">
        <v>0</v>
      </c>
    </row>
    <row r="1014" spans="1:7" x14ac:dyDescent="0.15">
      <c r="A1014">
        <v>110100001</v>
      </c>
      <c r="B1014">
        <v>3</v>
      </c>
      <c r="C1014">
        <v>20</v>
      </c>
      <c r="D1014">
        <v>20</v>
      </c>
      <c r="E1014" t="s">
        <v>363</v>
      </c>
      <c r="F1014" t="s">
        <v>364</v>
      </c>
      <c r="G1014">
        <v>1</v>
      </c>
    </row>
    <row r="1015" spans="1:7" x14ac:dyDescent="0.15">
      <c r="A1015">
        <v>110100002</v>
      </c>
      <c r="B1015">
        <v>3</v>
      </c>
      <c r="C1015">
        <v>20</v>
      </c>
      <c r="D1015">
        <v>20</v>
      </c>
      <c r="E1015" t="s">
        <v>365</v>
      </c>
      <c r="F1015" t="s">
        <v>366</v>
      </c>
      <c r="G1015">
        <v>1</v>
      </c>
    </row>
    <row r="1016" spans="1:7" x14ac:dyDescent="0.15">
      <c r="A1016">
        <v>110100003</v>
      </c>
      <c r="B1016">
        <v>3</v>
      </c>
      <c r="C1016">
        <v>20</v>
      </c>
      <c r="D1016">
        <v>20</v>
      </c>
      <c r="E1016" t="s">
        <v>367</v>
      </c>
      <c r="F1016" t="s">
        <v>368</v>
      </c>
      <c r="G1016">
        <v>1</v>
      </c>
    </row>
    <row r="1017" spans="1:7" x14ac:dyDescent="0.15">
      <c r="A1017">
        <v>110100004</v>
      </c>
      <c r="B1017">
        <v>3</v>
      </c>
      <c r="C1017">
        <v>20</v>
      </c>
      <c r="D1017">
        <v>20</v>
      </c>
      <c r="E1017" t="s">
        <v>369</v>
      </c>
      <c r="F1017" t="s">
        <v>370</v>
      </c>
      <c r="G1017">
        <v>1</v>
      </c>
    </row>
    <row r="1018" spans="1:7" x14ac:dyDescent="0.15">
      <c r="A1018">
        <v>110100005</v>
      </c>
      <c r="B1018">
        <v>3</v>
      </c>
      <c r="C1018">
        <v>20</v>
      </c>
      <c r="D1018">
        <v>20</v>
      </c>
      <c r="E1018" t="s">
        <v>371</v>
      </c>
      <c r="F1018" t="s">
        <v>372</v>
      </c>
      <c r="G1018">
        <v>1</v>
      </c>
    </row>
    <row r="1019" spans="1:7" x14ac:dyDescent="0.15">
      <c r="A1019">
        <v>110100006</v>
      </c>
      <c r="B1019">
        <v>3</v>
      </c>
      <c r="C1019">
        <v>20</v>
      </c>
      <c r="D1019">
        <v>20</v>
      </c>
      <c r="E1019" t="s">
        <v>373</v>
      </c>
      <c r="F1019" t="s">
        <v>374</v>
      </c>
      <c r="G1019">
        <v>1</v>
      </c>
    </row>
    <row r="1020" spans="1:7" x14ac:dyDescent="0.15">
      <c r="A1020">
        <v>110100007</v>
      </c>
      <c r="B1020">
        <v>3</v>
      </c>
      <c r="C1020">
        <v>20</v>
      </c>
      <c r="D1020">
        <v>20</v>
      </c>
      <c r="E1020" t="s">
        <v>375</v>
      </c>
      <c r="F1020" t="s">
        <v>376</v>
      </c>
      <c r="G1020">
        <v>1</v>
      </c>
    </row>
    <row r="1021" spans="1:7" x14ac:dyDescent="0.15">
      <c r="A1021">
        <v>110100008</v>
      </c>
      <c r="B1021">
        <v>3</v>
      </c>
      <c r="C1021">
        <v>20</v>
      </c>
      <c r="D1021">
        <v>20</v>
      </c>
      <c r="E1021" t="s">
        <v>377</v>
      </c>
      <c r="F1021" t="s">
        <v>378</v>
      </c>
      <c r="G1021">
        <v>1</v>
      </c>
    </row>
    <row r="1022" spans="1:7" x14ac:dyDescent="0.15">
      <c r="A1022">
        <v>110100021</v>
      </c>
      <c r="B1022">
        <v>3</v>
      </c>
      <c r="C1022">
        <v>20</v>
      </c>
      <c r="D1022">
        <v>20</v>
      </c>
      <c r="E1022" t="s">
        <v>377</v>
      </c>
      <c r="F1022" t="s">
        <v>378</v>
      </c>
      <c r="G1022">
        <v>0</v>
      </c>
    </row>
    <row r="1023" spans="1:7" x14ac:dyDescent="0.15">
      <c r="A1023">
        <v>110100009</v>
      </c>
      <c r="B1023">
        <v>3</v>
      </c>
      <c r="C1023">
        <v>20</v>
      </c>
      <c r="D1023">
        <v>20</v>
      </c>
      <c r="E1023" t="s">
        <v>379</v>
      </c>
      <c r="F1023" t="s">
        <v>380</v>
      </c>
      <c r="G1023">
        <v>1</v>
      </c>
    </row>
    <row r="1024" spans="1:7" x14ac:dyDescent="0.15">
      <c r="A1024">
        <v>110100010</v>
      </c>
      <c r="B1024">
        <v>4</v>
      </c>
      <c r="C1024">
        <v>40</v>
      </c>
      <c r="D1024">
        <v>40</v>
      </c>
      <c r="E1024" t="s">
        <v>377</v>
      </c>
      <c r="F1024" t="s">
        <v>381</v>
      </c>
      <c r="G1024">
        <v>1</v>
      </c>
    </row>
    <row r="1025" spans="1:7" x14ac:dyDescent="0.15">
      <c r="A1025">
        <v>110100011</v>
      </c>
      <c r="B1025">
        <v>4</v>
      </c>
      <c r="C1025">
        <v>40</v>
      </c>
      <c r="D1025">
        <v>40</v>
      </c>
      <c r="E1025" t="s">
        <v>363</v>
      </c>
      <c r="F1025" t="s">
        <v>382</v>
      </c>
      <c r="G1025">
        <v>1</v>
      </c>
    </row>
    <row r="1026" spans="1:7" x14ac:dyDescent="0.15">
      <c r="A1026">
        <v>110100012</v>
      </c>
      <c r="B1026">
        <v>4</v>
      </c>
      <c r="C1026">
        <v>40</v>
      </c>
      <c r="D1026">
        <v>40</v>
      </c>
      <c r="E1026" t="s">
        <v>365</v>
      </c>
      <c r="F1026" t="s">
        <v>383</v>
      </c>
      <c r="G1026">
        <v>1</v>
      </c>
    </row>
    <row r="1027" spans="1:7" x14ac:dyDescent="0.15">
      <c r="A1027">
        <v>110100013</v>
      </c>
      <c r="B1027">
        <v>4</v>
      </c>
      <c r="C1027">
        <v>40</v>
      </c>
      <c r="D1027">
        <v>40</v>
      </c>
      <c r="E1027" t="s">
        <v>369</v>
      </c>
      <c r="F1027" t="s">
        <v>384</v>
      </c>
      <c r="G1027">
        <v>1</v>
      </c>
    </row>
    <row r="1028" spans="1:7" x14ac:dyDescent="0.15">
      <c r="A1028">
        <v>110100014</v>
      </c>
      <c r="B1028">
        <v>4</v>
      </c>
      <c r="C1028">
        <v>40</v>
      </c>
      <c r="D1028">
        <v>40</v>
      </c>
      <c r="E1028" t="s">
        <v>371</v>
      </c>
      <c r="F1028" t="s">
        <v>385</v>
      </c>
      <c r="G1028">
        <v>1</v>
      </c>
    </row>
    <row r="1029" spans="1:7" x14ac:dyDescent="0.15">
      <c r="A1029">
        <v>110100015</v>
      </c>
      <c r="B1029">
        <v>4</v>
      </c>
      <c r="C1029">
        <v>40</v>
      </c>
      <c r="D1029">
        <v>40</v>
      </c>
      <c r="E1029" t="s">
        <v>373</v>
      </c>
      <c r="F1029" t="s">
        <v>386</v>
      </c>
      <c r="G1029">
        <v>1</v>
      </c>
    </row>
    <row r="1030" spans="1:7" x14ac:dyDescent="0.15">
      <c r="A1030">
        <v>110100016</v>
      </c>
      <c r="B1030">
        <v>4</v>
      </c>
      <c r="C1030">
        <v>40</v>
      </c>
      <c r="D1030">
        <v>40</v>
      </c>
      <c r="E1030" t="s">
        <v>375</v>
      </c>
      <c r="F1030" t="s">
        <v>387</v>
      </c>
      <c r="G1030">
        <v>1</v>
      </c>
    </row>
    <row r="1031" spans="1:7" x14ac:dyDescent="0.15">
      <c r="A1031">
        <v>110100017</v>
      </c>
      <c r="B1031">
        <v>5</v>
      </c>
      <c r="C1031">
        <v>60</v>
      </c>
      <c r="D1031">
        <v>60</v>
      </c>
      <c r="E1031" t="s">
        <v>388</v>
      </c>
      <c r="F1031" t="s">
        <v>389</v>
      </c>
      <c r="G1031">
        <v>1</v>
      </c>
    </row>
    <row r="1032" spans="1:7" x14ac:dyDescent="0.15">
      <c r="A1032">
        <v>110100018</v>
      </c>
      <c r="B1032">
        <v>5</v>
      </c>
      <c r="C1032">
        <v>60</v>
      </c>
      <c r="D1032">
        <v>60</v>
      </c>
      <c r="E1032" t="s">
        <v>390</v>
      </c>
      <c r="F1032" t="s">
        <v>391</v>
      </c>
      <c r="G1032">
        <v>1</v>
      </c>
    </row>
    <row r="1033" spans="1:7" x14ac:dyDescent="0.15">
      <c r="A1033">
        <v>110100019</v>
      </c>
      <c r="B1033">
        <v>5</v>
      </c>
      <c r="C1033">
        <v>60</v>
      </c>
      <c r="D1033">
        <v>60</v>
      </c>
      <c r="E1033" t="s">
        <v>392</v>
      </c>
      <c r="F1033" t="s">
        <v>393</v>
      </c>
      <c r="G1033">
        <v>1</v>
      </c>
    </row>
    <row r="1034" spans="1:7" x14ac:dyDescent="0.15">
      <c r="A1034">
        <v>110100020</v>
      </c>
      <c r="B1034">
        <v>5</v>
      </c>
      <c r="C1034">
        <v>60</v>
      </c>
      <c r="D1034">
        <v>60</v>
      </c>
      <c r="E1034" t="s">
        <v>394</v>
      </c>
      <c r="F1034" t="s">
        <v>783</v>
      </c>
      <c r="G1034">
        <v>1</v>
      </c>
    </row>
    <row r="1035" spans="1:7" x14ac:dyDescent="0.15">
      <c r="A1035">
        <v>110100101</v>
      </c>
      <c r="B1035">
        <v>3</v>
      </c>
      <c r="C1035">
        <v>20</v>
      </c>
      <c r="D1035">
        <v>20</v>
      </c>
      <c r="E1035" t="s">
        <v>395</v>
      </c>
      <c r="F1035" t="s">
        <v>784</v>
      </c>
      <c r="G1035">
        <v>0</v>
      </c>
    </row>
    <row r="1036" spans="1:7" x14ac:dyDescent="0.15">
      <c r="A1036">
        <v>110100102</v>
      </c>
      <c r="B1036">
        <v>4</v>
      </c>
      <c r="C1036">
        <v>40</v>
      </c>
      <c r="D1036">
        <v>40</v>
      </c>
      <c r="E1036" t="s">
        <v>395</v>
      </c>
      <c r="F1036" t="s">
        <v>396</v>
      </c>
      <c r="G1036">
        <v>0</v>
      </c>
    </row>
    <row r="1037" spans="1:7" x14ac:dyDescent="0.15">
      <c r="A1037">
        <v>110100103</v>
      </c>
      <c r="B1037">
        <v>5</v>
      </c>
      <c r="C1037">
        <v>60</v>
      </c>
      <c r="D1037">
        <v>60</v>
      </c>
      <c r="E1037" t="s">
        <v>395</v>
      </c>
      <c r="F1037" t="s">
        <v>397</v>
      </c>
      <c r="G1037">
        <v>0</v>
      </c>
    </row>
    <row r="1038" spans="1:7" x14ac:dyDescent="0.15">
      <c r="A1038">
        <v>110100104</v>
      </c>
      <c r="B1038">
        <v>3</v>
      </c>
      <c r="C1038">
        <v>20</v>
      </c>
      <c r="D1038">
        <v>20</v>
      </c>
      <c r="E1038" t="s">
        <v>785</v>
      </c>
      <c r="F1038" t="s">
        <v>398</v>
      </c>
      <c r="G1038">
        <v>0</v>
      </c>
    </row>
    <row r="1039" spans="1:7" x14ac:dyDescent="0.15">
      <c r="A1039">
        <v>110100105</v>
      </c>
      <c r="B1039">
        <v>4</v>
      </c>
      <c r="C1039">
        <v>40</v>
      </c>
      <c r="D1039">
        <v>40</v>
      </c>
      <c r="E1039" t="s">
        <v>785</v>
      </c>
      <c r="F1039" t="s">
        <v>399</v>
      </c>
      <c r="G1039">
        <v>0</v>
      </c>
    </row>
    <row r="1040" spans="1:7" x14ac:dyDescent="0.15">
      <c r="A1040">
        <v>110100106</v>
      </c>
      <c r="B1040">
        <v>5</v>
      </c>
      <c r="C1040">
        <v>60</v>
      </c>
      <c r="D1040">
        <v>60</v>
      </c>
      <c r="E1040" t="s">
        <v>785</v>
      </c>
      <c r="F1040" t="s">
        <v>400</v>
      </c>
      <c r="G1040">
        <v>0</v>
      </c>
    </row>
    <row r="1041" spans="1:7" x14ac:dyDescent="0.15">
      <c r="A1041">
        <v>110100107</v>
      </c>
      <c r="B1041">
        <v>3</v>
      </c>
      <c r="C1041">
        <v>20</v>
      </c>
      <c r="D1041">
        <v>20</v>
      </c>
      <c r="E1041" t="s">
        <v>401</v>
      </c>
      <c r="F1041" t="s">
        <v>786</v>
      </c>
      <c r="G1041">
        <v>0</v>
      </c>
    </row>
    <row r="1042" spans="1:7" x14ac:dyDescent="0.15">
      <c r="A1042">
        <v>110100108</v>
      </c>
      <c r="B1042">
        <v>4</v>
      </c>
      <c r="C1042">
        <v>40</v>
      </c>
      <c r="D1042">
        <v>40</v>
      </c>
      <c r="E1042" t="s">
        <v>401</v>
      </c>
      <c r="F1042" t="s">
        <v>787</v>
      </c>
      <c r="G1042">
        <v>0</v>
      </c>
    </row>
    <row r="1043" spans="1:7" x14ac:dyDescent="0.15">
      <c r="A1043">
        <v>110100109</v>
      </c>
      <c r="B1043">
        <v>5</v>
      </c>
      <c r="C1043">
        <v>60</v>
      </c>
      <c r="D1043">
        <v>60</v>
      </c>
      <c r="E1043" t="s">
        <v>401</v>
      </c>
      <c r="F1043" t="s">
        <v>788</v>
      </c>
      <c r="G1043">
        <v>0</v>
      </c>
    </row>
    <row r="1044" spans="1:7" x14ac:dyDescent="0.15">
      <c r="A1044">
        <v>110100110</v>
      </c>
      <c r="B1044">
        <v>3</v>
      </c>
      <c r="C1044">
        <v>20</v>
      </c>
      <c r="D1044">
        <v>20</v>
      </c>
      <c r="E1044" t="s">
        <v>402</v>
      </c>
      <c r="F1044" t="s">
        <v>403</v>
      </c>
      <c r="G1044">
        <v>0</v>
      </c>
    </row>
    <row r="1045" spans="1:7" x14ac:dyDescent="0.15">
      <c r="A1045">
        <v>110100120</v>
      </c>
      <c r="B1045">
        <v>3</v>
      </c>
      <c r="C1045">
        <v>20</v>
      </c>
      <c r="D1045">
        <v>20</v>
      </c>
      <c r="E1045" t="s">
        <v>402</v>
      </c>
      <c r="F1045" t="s">
        <v>403</v>
      </c>
      <c r="G1045">
        <v>0</v>
      </c>
    </row>
    <row r="1046" spans="1:7" x14ac:dyDescent="0.15">
      <c r="A1046">
        <v>110100111</v>
      </c>
      <c r="B1046">
        <v>4</v>
      </c>
      <c r="C1046">
        <v>40</v>
      </c>
      <c r="D1046">
        <v>40</v>
      </c>
      <c r="E1046" t="s">
        <v>402</v>
      </c>
      <c r="F1046" t="s">
        <v>404</v>
      </c>
      <c r="G1046">
        <v>0</v>
      </c>
    </row>
    <row r="1047" spans="1:7" x14ac:dyDescent="0.15">
      <c r="A1047">
        <v>110100112</v>
      </c>
      <c r="B1047">
        <v>5</v>
      </c>
      <c r="C1047">
        <v>60</v>
      </c>
      <c r="D1047">
        <v>60</v>
      </c>
      <c r="E1047" t="s">
        <v>402</v>
      </c>
      <c r="F1047" t="s">
        <v>405</v>
      </c>
      <c r="G1047">
        <v>0</v>
      </c>
    </row>
    <row r="1048" spans="1:7" x14ac:dyDescent="0.15">
      <c r="A1048">
        <v>110100113</v>
      </c>
      <c r="B1048">
        <v>3</v>
      </c>
      <c r="C1048">
        <v>20</v>
      </c>
      <c r="D1048">
        <v>20</v>
      </c>
      <c r="E1048" t="s">
        <v>406</v>
      </c>
      <c r="F1048" t="s">
        <v>407</v>
      </c>
      <c r="G1048">
        <v>0</v>
      </c>
    </row>
    <row r="1049" spans="1:7" x14ac:dyDescent="0.15">
      <c r="A1049">
        <v>110100114</v>
      </c>
      <c r="B1049">
        <v>4</v>
      </c>
      <c r="C1049">
        <v>40</v>
      </c>
      <c r="D1049">
        <v>40</v>
      </c>
      <c r="E1049" t="s">
        <v>406</v>
      </c>
      <c r="F1049" t="s">
        <v>408</v>
      </c>
      <c r="G1049">
        <v>0</v>
      </c>
    </row>
    <row r="1050" spans="1:7" x14ac:dyDescent="0.15">
      <c r="A1050">
        <v>110100115</v>
      </c>
      <c r="B1050">
        <v>5</v>
      </c>
      <c r="C1050">
        <v>60</v>
      </c>
      <c r="D1050">
        <v>60</v>
      </c>
      <c r="E1050" t="s">
        <v>406</v>
      </c>
      <c r="F1050" t="s">
        <v>409</v>
      </c>
      <c r="G1050">
        <v>0</v>
      </c>
    </row>
    <row r="1051" spans="1:7" x14ac:dyDescent="0.15">
      <c r="A1051">
        <v>110100116</v>
      </c>
      <c r="B1051">
        <v>3</v>
      </c>
      <c r="C1051">
        <v>20</v>
      </c>
      <c r="D1051">
        <v>20</v>
      </c>
      <c r="E1051" t="s">
        <v>410</v>
      </c>
      <c r="F1051" t="s">
        <v>411</v>
      </c>
      <c r="G1051">
        <v>0</v>
      </c>
    </row>
    <row r="1052" spans="1:7" x14ac:dyDescent="0.15">
      <c r="A1052">
        <v>110100117</v>
      </c>
      <c r="B1052">
        <v>4</v>
      </c>
      <c r="C1052">
        <v>40</v>
      </c>
      <c r="D1052">
        <v>40</v>
      </c>
      <c r="E1052" t="s">
        <v>410</v>
      </c>
      <c r="F1052" t="s">
        <v>412</v>
      </c>
      <c r="G1052">
        <v>0</v>
      </c>
    </row>
    <row r="1053" spans="1:7" x14ac:dyDescent="0.15">
      <c r="A1053">
        <v>110100118</v>
      </c>
      <c r="B1053">
        <v>5</v>
      </c>
      <c r="C1053">
        <v>60</v>
      </c>
      <c r="D1053">
        <v>60</v>
      </c>
      <c r="E1053" t="s">
        <v>410</v>
      </c>
      <c r="F1053" t="s">
        <v>413</v>
      </c>
      <c r="G1053">
        <v>0</v>
      </c>
    </row>
    <row r="1054" spans="1:7" x14ac:dyDescent="0.15">
      <c r="A1054">
        <v>150001001</v>
      </c>
      <c r="B1054">
        <v>3</v>
      </c>
      <c r="C1054">
        <v>60</v>
      </c>
      <c r="D1054">
        <v>60</v>
      </c>
      <c r="E1054" t="s">
        <v>414</v>
      </c>
      <c r="F1054" t="s">
        <v>415</v>
      </c>
      <c r="G1054">
        <v>1</v>
      </c>
    </row>
    <row r="1055" spans="1:7" x14ac:dyDescent="0.15">
      <c r="A1055">
        <v>150001002</v>
      </c>
      <c r="B1055">
        <v>4</v>
      </c>
      <c r="C1055">
        <v>90</v>
      </c>
      <c r="D1055">
        <v>90</v>
      </c>
      <c r="E1055" t="s">
        <v>414</v>
      </c>
      <c r="F1055" t="s">
        <v>415</v>
      </c>
      <c r="G1055">
        <v>1</v>
      </c>
    </row>
    <row r="1056" spans="1:7" x14ac:dyDescent="0.15">
      <c r="A1056">
        <v>150001003</v>
      </c>
      <c r="B1056">
        <v>5</v>
      </c>
      <c r="C1056">
        <v>130</v>
      </c>
      <c r="D1056">
        <v>130</v>
      </c>
      <c r="E1056" t="s">
        <v>414</v>
      </c>
      <c r="F1056" t="s">
        <v>415</v>
      </c>
      <c r="G1056">
        <v>1</v>
      </c>
    </row>
    <row r="1057" spans="1:7" x14ac:dyDescent="0.15">
      <c r="A1057">
        <v>150001101</v>
      </c>
      <c r="B1057">
        <v>3</v>
      </c>
      <c r="C1057">
        <v>60</v>
      </c>
      <c r="D1057">
        <v>60</v>
      </c>
      <c r="E1057" t="s">
        <v>789</v>
      </c>
      <c r="F1057" t="s">
        <v>790</v>
      </c>
      <c r="G1057">
        <v>1</v>
      </c>
    </row>
    <row r="1058" spans="1:7" x14ac:dyDescent="0.15">
      <c r="A1058">
        <v>150001102</v>
      </c>
      <c r="B1058">
        <v>4</v>
      </c>
      <c r="C1058">
        <v>90</v>
      </c>
      <c r="D1058">
        <v>90</v>
      </c>
      <c r="E1058" t="s">
        <v>789</v>
      </c>
      <c r="F1058" t="s">
        <v>791</v>
      </c>
      <c r="G1058">
        <v>1</v>
      </c>
    </row>
    <row r="1059" spans="1:7" x14ac:dyDescent="0.15">
      <c r="A1059">
        <v>150001103</v>
      </c>
      <c r="B1059">
        <v>5</v>
      </c>
      <c r="C1059">
        <v>130</v>
      </c>
      <c r="D1059">
        <v>130</v>
      </c>
      <c r="E1059" t="s">
        <v>789</v>
      </c>
      <c r="F1059" t="s">
        <v>792</v>
      </c>
      <c r="G1059">
        <v>1</v>
      </c>
    </row>
    <row r="1060" spans="1:7" x14ac:dyDescent="0.15">
      <c r="A1060">
        <v>150002001</v>
      </c>
      <c r="B1060">
        <v>3</v>
      </c>
      <c r="C1060">
        <v>60</v>
      </c>
      <c r="D1060">
        <v>60</v>
      </c>
      <c r="E1060" t="s">
        <v>470</v>
      </c>
      <c r="F1060" t="s">
        <v>416</v>
      </c>
      <c r="G1060">
        <v>1</v>
      </c>
    </row>
    <row r="1061" spans="1:7" x14ac:dyDescent="0.15">
      <c r="A1061">
        <v>150002002</v>
      </c>
      <c r="B1061">
        <v>4</v>
      </c>
      <c r="C1061">
        <v>90</v>
      </c>
      <c r="D1061">
        <v>90</v>
      </c>
      <c r="E1061" t="s">
        <v>470</v>
      </c>
      <c r="F1061" t="s">
        <v>416</v>
      </c>
      <c r="G1061">
        <v>1</v>
      </c>
    </row>
    <row r="1062" spans="1:7" x14ac:dyDescent="0.15">
      <c r="A1062">
        <v>150002003</v>
      </c>
      <c r="B1062">
        <v>5</v>
      </c>
      <c r="C1062">
        <v>130</v>
      </c>
      <c r="D1062">
        <v>130</v>
      </c>
      <c r="E1062" t="s">
        <v>470</v>
      </c>
      <c r="F1062" t="s">
        <v>416</v>
      </c>
      <c r="G1062">
        <v>1</v>
      </c>
    </row>
    <row r="1063" spans="1:7" x14ac:dyDescent="0.15">
      <c r="A1063">
        <v>150002101</v>
      </c>
      <c r="B1063">
        <v>3</v>
      </c>
      <c r="C1063">
        <v>60</v>
      </c>
      <c r="D1063">
        <v>60</v>
      </c>
      <c r="E1063" t="s">
        <v>793</v>
      </c>
      <c r="F1063" t="s">
        <v>794</v>
      </c>
      <c r="G1063">
        <v>1</v>
      </c>
    </row>
    <row r="1064" spans="1:7" x14ac:dyDescent="0.15">
      <c r="A1064">
        <v>150002102</v>
      </c>
      <c r="B1064">
        <v>4</v>
      </c>
      <c r="C1064">
        <v>90</v>
      </c>
      <c r="D1064">
        <v>90</v>
      </c>
      <c r="E1064" t="s">
        <v>793</v>
      </c>
      <c r="F1064" t="s">
        <v>795</v>
      </c>
      <c r="G1064">
        <v>1</v>
      </c>
    </row>
    <row r="1065" spans="1:7" x14ac:dyDescent="0.15">
      <c r="A1065">
        <v>150002103</v>
      </c>
      <c r="B1065">
        <v>5</v>
      </c>
      <c r="C1065">
        <v>130</v>
      </c>
      <c r="D1065">
        <v>130</v>
      </c>
      <c r="E1065" t="s">
        <v>793</v>
      </c>
      <c r="F1065" t="s">
        <v>796</v>
      </c>
      <c r="G1065">
        <v>1</v>
      </c>
    </row>
    <row r="1066" spans="1:7" x14ac:dyDescent="0.15">
      <c r="A1066">
        <v>150003001</v>
      </c>
      <c r="B1066">
        <v>3</v>
      </c>
      <c r="C1066">
        <v>60</v>
      </c>
      <c r="D1066">
        <v>60</v>
      </c>
      <c r="E1066" t="s">
        <v>208</v>
      </c>
      <c r="F1066" t="s">
        <v>417</v>
      </c>
      <c r="G1066">
        <v>1</v>
      </c>
    </row>
    <row r="1067" spans="1:7" x14ac:dyDescent="0.15">
      <c r="A1067">
        <v>150003002</v>
      </c>
      <c r="B1067">
        <v>4</v>
      </c>
      <c r="C1067">
        <v>90</v>
      </c>
      <c r="D1067">
        <v>90</v>
      </c>
      <c r="E1067" t="s">
        <v>208</v>
      </c>
      <c r="F1067" t="s">
        <v>417</v>
      </c>
      <c r="G1067">
        <v>1</v>
      </c>
    </row>
    <row r="1068" spans="1:7" x14ac:dyDescent="0.15">
      <c r="A1068">
        <v>150003003</v>
      </c>
      <c r="B1068">
        <v>5</v>
      </c>
      <c r="C1068">
        <v>130</v>
      </c>
      <c r="D1068">
        <v>130</v>
      </c>
      <c r="E1068" t="s">
        <v>208</v>
      </c>
      <c r="F1068" t="s">
        <v>417</v>
      </c>
      <c r="G1068">
        <v>1</v>
      </c>
    </row>
    <row r="1069" spans="1:7" x14ac:dyDescent="0.15">
      <c r="A1069">
        <v>150003101</v>
      </c>
      <c r="B1069">
        <v>3</v>
      </c>
      <c r="C1069">
        <v>60</v>
      </c>
      <c r="D1069">
        <v>60</v>
      </c>
      <c r="E1069" t="s">
        <v>420</v>
      </c>
      <c r="F1069" t="s">
        <v>797</v>
      </c>
      <c r="G1069">
        <v>1</v>
      </c>
    </row>
    <row r="1070" spans="1:7" x14ac:dyDescent="0.15">
      <c r="A1070">
        <v>150003102</v>
      </c>
      <c r="B1070">
        <v>4</v>
      </c>
      <c r="C1070">
        <v>90</v>
      </c>
      <c r="D1070">
        <v>90</v>
      </c>
      <c r="E1070" t="s">
        <v>420</v>
      </c>
      <c r="F1070" t="s">
        <v>798</v>
      </c>
      <c r="G1070">
        <v>1</v>
      </c>
    </row>
    <row r="1071" spans="1:7" x14ac:dyDescent="0.15">
      <c r="A1071">
        <v>150003103</v>
      </c>
      <c r="B1071">
        <v>5</v>
      </c>
      <c r="C1071">
        <v>130</v>
      </c>
      <c r="D1071">
        <v>130</v>
      </c>
      <c r="E1071" t="s">
        <v>420</v>
      </c>
      <c r="F1071" t="s">
        <v>799</v>
      </c>
      <c r="G1071">
        <v>1</v>
      </c>
    </row>
    <row r="1072" spans="1:7" x14ac:dyDescent="0.15">
      <c r="A1072">
        <v>150004001</v>
      </c>
      <c r="B1072">
        <v>3</v>
      </c>
      <c r="C1072">
        <v>60</v>
      </c>
      <c r="D1072">
        <v>60</v>
      </c>
      <c r="E1072" t="s">
        <v>472</v>
      </c>
      <c r="F1072" t="s">
        <v>418</v>
      </c>
      <c r="G1072">
        <v>1</v>
      </c>
    </row>
    <row r="1073" spans="1:7" x14ac:dyDescent="0.15">
      <c r="A1073">
        <v>150004004</v>
      </c>
      <c r="B1073">
        <v>3</v>
      </c>
      <c r="C1073">
        <v>60</v>
      </c>
      <c r="D1073">
        <v>60</v>
      </c>
      <c r="E1073" t="s">
        <v>472</v>
      </c>
      <c r="F1073" t="s">
        <v>418</v>
      </c>
      <c r="G1073">
        <v>0</v>
      </c>
    </row>
    <row r="1074" spans="1:7" x14ac:dyDescent="0.15">
      <c r="A1074">
        <v>150004002</v>
      </c>
      <c r="B1074">
        <v>4</v>
      </c>
      <c r="C1074">
        <v>90</v>
      </c>
      <c r="D1074">
        <v>90</v>
      </c>
      <c r="E1074" t="s">
        <v>472</v>
      </c>
      <c r="F1074" t="s">
        <v>418</v>
      </c>
      <c r="G1074">
        <v>1</v>
      </c>
    </row>
    <row r="1075" spans="1:7" x14ac:dyDescent="0.15">
      <c r="A1075">
        <v>150004003</v>
      </c>
      <c r="B1075">
        <v>5</v>
      </c>
      <c r="C1075">
        <v>130</v>
      </c>
      <c r="D1075">
        <v>130</v>
      </c>
      <c r="E1075" t="s">
        <v>472</v>
      </c>
      <c r="F1075" t="s">
        <v>418</v>
      </c>
      <c r="G1075">
        <v>1</v>
      </c>
    </row>
    <row r="1076" spans="1:7" x14ac:dyDescent="0.15">
      <c r="A1076">
        <v>150004101</v>
      </c>
      <c r="B1076">
        <v>4</v>
      </c>
      <c r="C1076">
        <v>90</v>
      </c>
      <c r="D1076">
        <v>90</v>
      </c>
      <c r="E1076" t="s">
        <v>421</v>
      </c>
      <c r="F1076" t="s">
        <v>800</v>
      </c>
      <c r="G1076">
        <v>1</v>
      </c>
    </row>
    <row r="1077" spans="1:7" x14ac:dyDescent="0.15">
      <c r="A1077">
        <v>150004102</v>
      </c>
      <c r="B1077">
        <v>5</v>
      </c>
      <c r="C1077">
        <v>130</v>
      </c>
      <c r="D1077">
        <v>130</v>
      </c>
      <c r="E1077" t="s">
        <v>421</v>
      </c>
      <c r="F1077" t="s">
        <v>801</v>
      </c>
      <c r="G1077">
        <v>0</v>
      </c>
    </row>
    <row r="1078" spans="1:7" x14ac:dyDescent="0.15">
      <c r="A1078">
        <v>150005001</v>
      </c>
      <c r="B1078">
        <v>3</v>
      </c>
      <c r="C1078">
        <v>60</v>
      </c>
      <c r="D1078">
        <v>60</v>
      </c>
      <c r="E1078" t="s">
        <v>474</v>
      </c>
      <c r="F1078" t="s">
        <v>419</v>
      </c>
      <c r="G1078">
        <v>1</v>
      </c>
    </row>
    <row r="1079" spans="1:7" x14ac:dyDescent="0.15">
      <c r="A1079">
        <v>150005002</v>
      </c>
      <c r="B1079">
        <v>4</v>
      </c>
      <c r="C1079">
        <v>90</v>
      </c>
      <c r="D1079">
        <v>90</v>
      </c>
      <c r="E1079" t="s">
        <v>474</v>
      </c>
      <c r="F1079" t="s">
        <v>419</v>
      </c>
      <c r="G1079">
        <v>1</v>
      </c>
    </row>
    <row r="1080" spans="1:7" x14ac:dyDescent="0.15">
      <c r="A1080">
        <v>150005003</v>
      </c>
      <c r="B1080">
        <v>5</v>
      </c>
      <c r="C1080">
        <v>130</v>
      </c>
      <c r="D1080">
        <v>130</v>
      </c>
      <c r="E1080" t="s">
        <v>474</v>
      </c>
      <c r="F1080" t="s">
        <v>419</v>
      </c>
      <c r="G1080">
        <v>1</v>
      </c>
    </row>
    <row r="1081" spans="1:7" x14ac:dyDescent="0.15">
      <c r="A1081">
        <v>150005101</v>
      </c>
      <c r="B1081">
        <v>3</v>
      </c>
      <c r="C1081">
        <v>60</v>
      </c>
      <c r="D1081">
        <v>60</v>
      </c>
      <c r="E1081" t="s">
        <v>422</v>
      </c>
      <c r="F1081" t="s">
        <v>802</v>
      </c>
      <c r="G1081">
        <v>1</v>
      </c>
    </row>
    <row r="1082" spans="1:7" x14ac:dyDescent="0.15">
      <c r="A1082">
        <v>150005102</v>
      </c>
      <c r="B1082">
        <v>4</v>
      </c>
      <c r="C1082">
        <v>90</v>
      </c>
      <c r="D1082">
        <v>90</v>
      </c>
      <c r="E1082" t="s">
        <v>422</v>
      </c>
      <c r="F1082" t="s">
        <v>803</v>
      </c>
      <c r="G1082">
        <v>0</v>
      </c>
    </row>
    <row r="1083" spans="1:7" x14ac:dyDescent="0.15">
      <c r="A1083">
        <v>150005103</v>
      </c>
      <c r="B1083">
        <v>5</v>
      </c>
      <c r="C1083">
        <v>130</v>
      </c>
      <c r="D1083">
        <v>130</v>
      </c>
      <c r="E1083" t="s">
        <v>422</v>
      </c>
      <c r="F1083" t="s">
        <v>804</v>
      </c>
      <c r="G1083">
        <v>0</v>
      </c>
    </row>
    <row r="1084" spans="1:7" x14ac:dyDescent="0.15">
      <c r="A1084">
        <v>150006001</v>
      </c>
      <c r="B1084">
        <v>3</v>
      </c>
      <c r="C1084">
        <v>60</v>
      </c>
      <c r="D1084">
        <v>60</v>
      </c>
      <c r="E1084" t="s">
        <v>805</v>
      </c>
      <c r="F1084" t="s">
        <v>806</v>
      </c>
      <c r="G1084">
        <v>0</v>
      </c>
    </row>
    <row r="1085" spans="1:7" x14ac:dyDescent="0.15">
      <c r="A1085">
        <v>150006002</v>
      </c>
      <c r="B1085">
        <v>4</v>
      </c>
      <c r="C1085">
        <v>90</v>
      </c>
      <c r="D1085">
        <v>90</v>
      </c>
      <c r="E1085" t="s">
        <v>805</v>
      </c>
      <c r="F1085" t="s">
        <v>806</v>
      </c>
      <c r="G1085">
        <v>0</v>
      </c>
    </row>
    <row r="1086" spans="1:7" x14ac:dyDescent="0.15">
      <c r="A1086">
        <v>150006003</v>
      </c>
      <c r="B1086">
        <v>5</v>
      </c>
      <c r="C1086">
        <v>130</v>
      </c>
      <c r="D1086">
        <v>130</v>
      </c>
      <c r="E1086" t="s">
        <v>805</v>
      </c>
      <c r="F1086" t="s">
        <v>806</v>
      </c>
      <c r="G1086">
        <v>0</v>
      </c>
    </row>
    <row r="1087" spans="1:7" x14ac:dyDescent="0.15">
      <c r="A1087">
        <v>150006101</v>
      </c>
      <c r="B1087">
        <v>3</v>
      </c>
      <c r="C1087">
        <v>60</v>
      </c>
      <c r="D1087">
        <v>60</v>
      </c>
      <c r="E1087" t="s">
        <v>423</v>
      </c>
      <c r="F1087" t="s">
        <v>424</v>
      </c>
      <c r="G1087">
        <v>1</v>
      </c>
    </row>
    <row r="1088" spans="1:7" x14ac:dyDescent="0.15">
      <c r="A1088">
        <v>150006102</v>
      </c>
      <c r="B1088">
        <v>4</v>
      </c>
      <c r="C1088">
        <v>90</v>
      </c>
      <c r="D1088">
        <v>90</v>
      </c>
      <c r="E1088" t="s">
        <v>423</v>
      </c>
      <c r="F1088" t="s">
        <v>425</v>
      </c>
      <c r="G1088">
        <v>1</v>
      </c>
    </row>
    <row r="1089" spans="1:7" x14ac:dyDescent="0.15">
      <c r="A1089">
        <v>150006103</v>
      </c>
      <c r="B1089">
        <v>5</v>
      </c>
      <c r="C1089">
        <v>130</v>
      </c>
      <c r="D1089">
        <v>130</v>
      </c>
      <c r="E1089" t="s">
        <v>423</v>
      </c>
      <c r="F1089" t="s">
        <v>426</v>
      </c>
      <c r="G1089">
        <v>1</v>
      </c>
    </row>
    <row r="1090" spans="1:7" x14ac:dyDescent="0.15">
      <c r="A1090">
        <v>150007001</v>
      </c>
      <c r="B1090">
        <v>3</v>
      </c>
      <c r="C1090">
        <v>60</v>
      </c>
      <c r="D1090">
        <v>60</v>
      </c>
      <c r="E1090" t="s">
        <v>807</v>
      </c>
      <c r="F1090" t="s">
        <v>427</v>
      </c>
      <c r="G1090">
        <v>0</v>
      </c>
    </row>
    <row r="1091" spans="1:7" x14ac:dyDescent="0.15">
      <c r="A1091">
        <v>150008101</v>
      </c>
      <c r="B1091">
        <v>2</v>
      </c>
      <c r="C1091">
        <v>40</v>
      </c>
      <c r="D1091">
        <v>40</v>
      </c>
      <c r="E1091" t="s">
        <v>808</v>
      </c>
      <c r="F1091" t="s">
        <v>809</v>
      </c>
      <c r="G1091">
        <v>0</v>
      </c>
    </row>
    <row r="1092" spans="1:7" x14ac:dyDescent="0.15">
      <c r="A1092">
        <v>150008102</v>
      </c>
      <c r="B1092">
        <v>3</v>
      </c>
      <c r="C1092">
        <v>60</v>
      </c>
      <c r="D1092">
        <v>60</v>
      </c>
      <c r="E1092" t="s">
        <v>808</v>
      </c>
      <c r="F1092" t="s">
        <v>810</v>
      </c>
      <c r="G1092">
        <v>0</v>
      </c>
    </row>
    <row r="1093" spans="1:7" x14ac:dyDescent="0.15">
      <c r="A1093">
        <v>150008103</v>
      </c>
      <c r="B1093">
        <v>4</v>
      </c>
      <c r="C1093">
        <v>90</v>
      </c>
      <c r="D1093">
        <v>90</v>
      </c>
      <c r="E1093" t="s">
        <v>808</v>
      </c>
      <c r="F1093" t="s">
        <v>811</v>
      </c>
      <c r="G1093">
        <v>0</v>
      </c>
    </row>
    <row r="1094" spans="1:7" x14ac:dyDescent="0.15">
      <c r="A1094">
        <v>150008104</v>
      </c>
      <c r="B1094">
        <v>5</v>
      </c>
      <c r="C1094">
        <v>130</v>
      </c>
      <c r="D1094">
        <v>130</v>
      </c>
      <c r="E1094" t="s">
        <v>808</v>
      </c>
      <c r="F1094" t="s">
        <v>812</v>
      </c>
      <c r="G1094">
        <v>0</v>
      </c>
    </row>
    <row r="1095" spans="1:7" x14ac:dyDescent="0.15">
      <c r="A1095">
        <v>150009101</v>
      </c>
      <c r="B1095">
        <v>2</v>
      </c>
      <c r="C1095">
        <v>40</v>
      </c>
      <c r="D1095">
        <v>40</v>
      </c>
      <c r="E1095" t="s">
        <v>813</v>
      </c>
      <c r="F1095" t="s">
        <v>814</v>
      </c>
      <c r="G1095">
        <v>0</v>
      </c>
    </row>
    <row r="1096" spans="1:7" x14ac:dyDescent="0.15">
      <c r="A1096">
        <v>150009102</v>
      </c>
      <c r="B1096">
        <v>3</v>
      </c>
      <c r="C1096">
        <v>60</v>
      </c>
      <c r="D1096">
        <v>60</v>
      </c>
      <c r="E1096" t="s">
        <v>813</v>
      </c>
      <c r="F1096" t="s">
        <v>815</v>
      </c>
      <c r="G1096">
        <v>0</v>
      </c>
    </row>
    <row r="1097" spans="1:7" x14ac:dyDescent="0.15">
      <c r="A1097">
        <v>150009103</v>
      </c>
      <c r="B1097">
        <v>4</v>
      </c>
      <c r="C1097">
        <v>90</v>
      </c>
      <c r="D1097">
        <v>90</v>
      </c>
      <c r="E1097" t="s">
        <v>813</v>
      </c>
      <c r="F1097" t="s">
        <v>816</v>
      </c>
      <c r="G1097">
        <v>0</v>
      </c>
    </row>
    <row r="1098" spans="1:7" x14ac:dyDescent="0.15">
      <c r="A1098">
        <v>150009104</v>
      </c>
      <c r="B1098">
        <v>5</v>
      </c>
      <c r="C1098">
        <v>130</v>
      </c>
      <c r="D1098">
        <v>130</v>
      </c>
      <c r="E1098" t="s">
        <v>813</v>
      </c>
      <c r="F1098" t="s">
        <v>817</v>
      </c>
      <c r="G1098">
        <v>0</v>
      </c>
    </row>
    <row r="1099" spans="1:7" x14ac:dyDescent="0.15">
      <c r="A1099">
        <v>150010101</v>
      </c>
      <c r="B1099">
        <v>2</v>
      </c>
      <c r="C1099">
        <v>40</v>
      </c>
      <c r="D1099">
        <v>40</v>
      </c>
      <c r="E1099" t="s">
        <v>818</v>
      </c>
      <c r="F1099" t="s">
        <v>819</v>
      </c>
      <c r="G1099">
        <v>0</v>
      </c>
    </row>
    <row r="1100" spans="1:7" x14ac:dyDescent="0.15">
      <c r="A1100">
        <v>150010102</v>
      </c>
      <c r="B1100">
        <v>3</v>
      </c>
      <c r="C1100">
        <v>60</v>
      </c>
      <c r="D1100">
        <v>60</v>
      </c>
      <c r="E1100" t="s">
        <v>818</v>
      </c>
      <c r="F1100" t="s">
        <v>820</v>
      </c>
      <c r="G1100">
        <v>0</v>
      </c>
    </row>
    <row r="1101" spans="1:7" x14ac:dyDescent="0.15">
      <c r="A1101">
        <v>150010103</v>
      </c>
      <c r="B1101">
        <v>4</v>
      </c>
      <c r="C1101">
        <v>90</v>
      </c>
      <c r="D1101">
        <v>90</v>
      </c>
      <c r="E1101" t="s">
        <v>818</v>
      </c>
      <c r="F1101" t="s">
        <v>821</v>
      </c>
      <c r="G1101">
        <v>0</v>
      </c>
    </row>
    <row r="1102" spans="1:7" x14ac:dyDescent="0.15">
      <c r="A1102">
        <v>150010104</v>
      </c>
      <c r="B1102">
        <v>5</v>
      </c>
      <c r="C1102">
        <v>130</v>
      </c>
      <c r="D1102">
        <v>130</v>
      </c>
      <c r="E1102" t="s">
        <v>818</v>
      </c>
      <c r="F1102" t="s">
        <v>822</v>
      </c>
      <c r="G1102">
        <v>0</v>
      </c>
    </row>
    <row r="1103" spans="1:7" x14ac:dyDescent="0.15">
      <c r="A1103">
        <v>150011101</v>
      </c>
      <c r="B1103">
        <v>2</v>
      </c>
      <c r="C1103">
        <v>40</v>
      </c>
      <c r="D1103">
        <v>40</v>
      </c>
      <c r="E1103" t="s">
        <v>823</v>
      </c>
      <c r="F1103" t="s">
        <v>824</v>
      </c>
      <c r="G1103">
        <v>0</v>
      </c>
    </row>
    <row r="1104" spans="1:7" x14ac:dyDescent="0.15">
      <c r="A1104">
        <v>150011102</v>
      </c>
      <c r="B1104">
        <v>3</v>
      </c>
      <c r="C1104">
        <v>60</v>
      </c>
      <c r="D1104">
        <v>60</v>
      </c>
      <c r="E1104" t="s">
        <v>823</v>
      </c>
      <c r="F1104" t="s">
        <v>825</v>
      </c>
      <c r="G1104">
        <v>0</v>
      </c>
    </row>
    <row r="1105" spans="1:7" x14ac:dyDescent="0.15">
      <c r="A1105">
        <v>150011106</v>
      </c>
      <c r="B1105">
        <v>3</v>
      </c>
      <c r="C1105">
        <v>60</v>
      </c>
      <c r="D1105">
        <v>60</v>
      </c>
      <c r="E1105" t="s">
        <v>823</v>
      </c>
      <c r="F1105" t="s">
        <v>825</v>
      </c>
      <c r="G1105">
        <v>0</v>
      </c>
    </row>
    <row r="1106" spans="1:7" x14ac:dyDescent="0.15">
      <c r="A1106">
        <v>150011103</v>
      </c>
      <c r="B1106">
        <v>4</v>
      </c>
      <c r="C1106">
        <v>90</v>
      </c>
      <c r="D1106">
        <v>90</v>
      </c>
      <c r="E1106" t="s">
        <v>823</v>
      </c>
      <c r="F1106" t="s">
        <v>826</v>
      </c>
      <c r="G1106">
        <v>0</v>
      </c>
    </row>
    <row r="1107" spans="1:7" x14ac:dyDescent="0.15">
      <c r="A1107">
        <v>150011104</v>
      </c>
      <c r="B1107">
        <v>5</v>
      </c>
      <c r="C1107">
        <v>130</v>
      </c>
      <c r="D1107">
        <v>130</v>
      </c>
      <c r="E1107" t="s">
        <v>823</v>
      </c>
      <c r="F1107" t="s">
        <v>827</v>
      </c>
      <c r="G1107">
        <v>0</v>
      </c>
    </row>
    <row r="1108" spans="1:7" x14ac:dyDescent="0.15">
      <c r="A1108">
        <v>150012101</v>
      </c>
      <c r="B1108">
        <v>2</v>
      </c>
      <c r="C1108">
        <v>40</v>
      </c>
      <c r="D1108">
        <v>40</v>
      </c>
      <c r="E1108" t="s">
        <v>475</v>
      </c>
      <c r="F1108" t="s">
        <v>828</v>
      </c>
      <c r="G1108">
        <v>0</v>
      </c>
    </row>
    <row r="1109" spans="1:7" x14ac:dyDescent="0.15">
      <c r="A1109">
        <v>150013201</v>
      </c>
      <c r="B1109">
        <v>3</v>
      </c>
      <c r="C1109">
        <v>60</v>
      </c>
      <c r="D1109">
        <v>60</v>
      </c>
      <c r="E1109" t="s">
        <v>829</v>
      </c>
      <c r="F1109" t="s">
        <v>802</v>
      </c>
      <c r="G1109">
        <v>0</v>
      </c>
    </row>
    <row r="1110" spans="1:7" x14ac:dyDescent="0.15">
      <c r="A1110">
        <v>150014201</v>
      </c>
      <c r="B1110">
        <v>3</v>
      </c>
      <c r="C1110">
        <v>60</v>
      </c>
      <c r="D1110">
        <v>60</v>
      </c>
      <c r="E1110" t="s">
        <v>830</v>
      </c>
      <c r="G1110">
        <v>0</v>
      </c>
    </row>
    <row r="1111" spans="1:7" x14ac:dyDescent="0.15">
      <c r="A1111">
        <v>150015201</v>
      </c>
      <c r="B1111">
        <v>3</v>
      </c>
      <c r="C1111">
        <v>60</v>
      </c>
      <c r="D1111">
        <v>60</v>
      </c>
      <c r="E1111" t="s">
        <v>805</v>
      </c>
      <c r="F1111" t="s">
        <v>806</v>
      </c>
      <c r="G1111">
        <v>0</v>
      </c>
    </row>
    <row r="1112" spans="1:7" x14ac:dyDescent="0.15">
      <c r="A1112">
        <v>150016201</v>
      </c>
      <c r="B1112">
        <v>3</v>
      </c>
      <c r="C1112">
        <v>60</v>
      </c>
      <c r="D1112">
        <v>60</v>
      </c>
      <c r="E1112" t="s">
        <v>831</v>
      </c>
      <c r="F1112" t="s">
        <v>832</v>
      </c>
      <c r="G1112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41"/>
  <sheetViews>
    <sheetView workbookViewId="0">
      <selection activeCell="C30" sqref="C30"/>
    </sheetView>
  </sheetViews>
  <sheetFormatPr defaultRowHeight="13.5" x14ac:dyDescent="0.15"/>
  <cols>
    <col min="1" max="1" width="7.375" bestFit="1" customWidth="1"/>
    <col min="2" max="2" width="12" bestFit="1" customWidth="1"/>
    <col min="3" max="3" width="9.75" bestFit="1" customWidth="1"/>
    <col min="4" max="5" width="19.25" bestFit="1" customWidth="1"/>
    <col min="7" max="7" width="4" bestFit="1" customWidth="1"/>
    <col min="8" max="8" width="5.75" customWidth="1"/>
  </cols>
  <sheetData>
    <row r="1" spans="1:8" s="1" customFormat="1" x14ac:dyDescent="0.15">
      <c r="A1" s="1" t="s">
        <v>433</v>
      </c>
      <c r="B1" s="1" t="s">
        <v>434</v>
      </c>
      <c r="C1" s="1" t="s">
        <v>435</v>
      </c>
      <c r="D1" s="1" t="s">
        <v>436</v>
      </c>
      <c r="G1" s="1" t="s">
        <v>437</v>
      </c>
      <c r="H1" s="1" t="s">
        <v>438</v>
      </c>
    </row>
    <row r="2" spans="1:8" x14ac:dyDescent="0.15">
      <c r="A2">
        <v>1</v>
      </c>
      <c r="B2">
        <v>101</v>
      </c>
      <c r="C2" t="s">
        <v>439</v>
      </c>
      <c r="D2" t="s">
        <v>440</v>
      </c>
      <c r="G2">
        <v>0</v>
      </c>
      <c r="H2" t="s">
        <v>441</v>
      </c>
    </row>
    <row r="3" spans="1:8" x14ac:dyDescent="0.15">
      <c r="A3">
        <v>1</v>
      </c>
      <c r="B3">
        <v>102</v>
      </c>
      <c r="C3" t="s">
        <v>439</v>
      </c>
      <c r="D3" t="s">
        <v>442</v>
      </c>
      <c r="G3">
        <v>1</v>
      </c>
      <c r="H3" t="s">
        <v>443</v>
      </c>
    </row>
    <row r="4" spans="1:8" x14ac:dyDescent="0.15">
      <c r="A4">
        <v>1</v>
      </c>
      <c r="B4">
        <v>103</v>
      </c>
      <c r="C4" t="s">
        <v>439</v>
      </c>
      <c r="D4" t="s">
        <v>444</v>
      </c>
    </row>
    <row r="5" spans="1:8" x14ac:dyDescent="0.15">
      <c r="A5">
        <v>1</v>
      </c>
      <c r="B5">
        <v>104</v>
      </c>
      <c r="C5" t="s">
        <v>439</v>
      </c>
      <c r="D5" t="s">
        <v>445</v>
      </c>
    </row>
    <row r="6" spans="1:8" x14ac:dyDescent="0.15">
      <c r="A6">
        <v>1</v>
      </c>
      <c r="B6">
        <v>105</v>
      </c>
      <c r="C6" t="s">
        <v>439</v>
      </c>
      <c r="D6" t="s">
        <v>446</v>
      </c>
    </row>
    <row r="7" spans="1:8" x14ac:dyDescent="0.15">
      <c r="A7">
        <v>1</v>
      </c>
      <c r="B7">
        <v>106</v>
      </c>
      <c r="C7" t="s">
        <v>439</v>
      </c>
      <c r="D7" t="s">
        <v>447</v>
      </c>
    </row>
    <row r="8" spans="1:8" x14ac:dyDescent="0.15">
      <c r="A8">
        <v>1</v>
      </c>
      <c r="B8">
        <v>108</v>
      </c>
      <c r="C8" t="s">
        <v>439</v>
      </c>
      <c r="D8" t="s">
        <v>448</v>
      </c>
    </row>
    <row r="9" spans="1:8" x14ac:dyDescent="0.15">
      <c r="A9">
        <v>1</v>
      </c>
      <c r="B9">
        <v>108</v>
      </c>
      <c r="C9" t="s">
        <v>439</v>
      </c>
      <c r="D9" t="s">
        <v>448</v>
      </c>
    </row>
    <row r="10" spans="1:8" x14ac:dyDescent="0.15">
      <c r="A10">
        <v>1</v>
      </c>
      <c r="B10">
        <v>108</v>
      </c>
      <c r="C10" t="s">
        <v>439</v>
      </c>
      <c r="D10" t="s">
        <v>448</v>
      </c>
    </row>
    <row r="11" spans="1:8" x14ac:dyDescent="0.15">
      <c r="A11">
        <v>1</v>
      </c>
      <c r="B11">
        <v>108</v>
      </c>
      <c r="C11" t="s">
        <v>439</v>
      </c>
      <c r="D11" t="s">
        <v>448</v>
      </c>
    </row>
    <row r="12" spans="1:8" x14ac:dyDescent="0.15">
      <c r="A12">
        <v>2</v>
      </c>
      <c r="B12">
        <v>201</v>
      </c>
      <c r="C12" t="s">
        <v>449</v>
      </c>
      <c r="D12" t="s">
        <v>450</v>
      </c>
    </row>
    <row r="13" spans="1:8" x14ac:dyDescent="0.15">
      <c r="A13">
        <v>2</v>
      </c>
      <c r="B13">
        <v>202</v>
      </c>
      <c r="C13" t="s">
        <v>449</v>
      </c>
      <c r="D13" t="s">
        <v>451</v>
      </c>
    </row>
    <row r="14" spans="1:8" x14ac:dyDescent="0.15">
      <c r="A14">
        <v>2</v>
      </c>
      <c r="B14">
        <v>203</v>
      </c>
      <c r="C14" t="s">
        <v>449</v>
      </c>
      <c r="D14" t="s">
        <v>452</v>
      </c>
    </row>
    <row r="15" spans="1:8" x14ac:dyDescent="0.15">
      <c r="A15">
        <v>3</v>
      </c>
      <c r="B15">
        <v>301</v>
      </c>
      <c r="C15" t="s">
        <v>453</v>
      </c>
      <c r="D15" t="s">
        <v>453</v>
      </c>
    </row>
    <row r="16" spans="1:8" x14ac:dyDescent="0.15">
      <c r="A16">
        <v>3</v>
      </c>
      <c r="B16">
        <v>302</v>
      </c>
      <c r="C16" t="s">
        <v>453</v>
      </c>
      <c r="D16" t="s">
        <v>453</v>
      </c>
    </row>
    <row r="17" spans="1:4" x14ac:dyDescent="0.15">
      <c r="A17">
        <v>3</v>
      </c>
      <c r="B17">
        <v>303</v>
      </c>
      <c r="C17" t="s">
        <v>453</v>
      </c>
      <c r="D17" t="s">
        <v>453</v>
      </c>
    </row>
    <row r="18" spans="1:4" x14ac:dyDescent="0.15">
      <c r="A18">
        <v>3</v>
      </c>
      <c r="B18">
        <v>303</v>
      </c>
      <c r="C18" t="s">
        <v>453</v>
      </c>
      <c r="D18" t="s">
        <v>453</v>
      </c>
    </row>
    <row r="19" spans="1:4" x14ac:dyDescent="0.15">
      <c r="A19">
        <v>3</v>
      </c>
      <c r="B19">
        <v>304</v>
      </c>
      <c r="C19" t="s">
        <v>453</v>
      </c>
      <c r="D19" t="s">
        <v>453</v>
      </c>
    </row>
    <row r="20" spans="1:4" x14ac:dyDescent="0.15">
      <c r="A20">
        <v>3</v>
      </c>
      <c r="B20">
        <v>305</v>
      </c>
      <c r="C20" t="s">
        <v>453</v>
      </c>
      <c r="D20" t="s">
        <v>453</v>
      </c>
    </row>
    <row r="21" spans="1:4" x14ac:dyDescent="0.15">
      <c r="A21">
        <v>3</v>
      </c>
      <c r="B21">
        <v>307</v>
      </c>
      <c r="C21" t="s">
        <v>453</v>
      </c>
      <c r="D21" t="s">
        <v>453</v>
      </c>
    </row>
    <row r="22" spans="1:4" x14ac:dyDescent="0.15">
      <c r="A22">
        <v>3</v>
      </c>
      <c r="B22">
        <v>307</v>
      </c>
      <c r="C22" t="s">
        <v>453</v>
      </c>
      <c r="D22" t="s">
        <v>453</v>
      </c>
    </row>
    <row r="23" spans="1:4" x14ac:dyDescent="0.15">
      <c r="A23">
        <v>3</v>
      </c>
      <c r="B23">
        <v>307</v>
      </c>
      <c r="C23" t="s">
        <v>453</v>
      </c>
      <c r="D23" t="s">
        <v>453</v>
      </c>
    </row>
    <row r="24" spans="1:4" x14ac:dyDescent="0.15">
      <c r="A24">
        <v>3</v>
      </c>
      <c r="B24">
        <v>307</v>
      </c>
      <c r="C24" t="s">
        <v>453</v>
      </c>
      <c r="D24" t="s">
        <v>453</v>
      </c>
    </row>
    <row r="25" spans="1:4" x14ac:dyDescent="0.15">
      <c r="A25">
        <v>3</v>
      </c>
      <c r="B25">
        <v>307</v>
      </c>
      <c r="C25" t="s">
        <v>453</v>
      </c>
      <c r="D25" t="s">
        <v>453</v>
      </c>
    </row>
    <row r="26" spans="1:4" x14ac:dyDescent="0.15">
      <c r="A26">
        <v>3</v>
      </c>
      <c r="B26">
        <v>308</v>
      </c>
      <c r="C26" t="s">
        <v>453</v>
      </c>
      <c r="D26" t="s">
        <v>453</v>
      </c>
    </row>
    <row r="27" spans="1:4" x14ac:dyDescent="0.15">
      <c r="A27">
        <v>4</v>
      </c>
      <c r="B27">
        <v>401</v>
      </c>
      <c r="C27" t="s">
        <v>454</v>
      </c>
      <c r="D27" t="s">
        <v>455</v>
      </c>
    </row>
    <row r="28" spans="1:4" x14ac:dyDescent="0.15">
      <c r="A28">
        <v>4</v>
      </c>
      <c r="B28">
        <v>402</v>
      </c>
      <c r="C28" t="s">
        <v>454</v>
      </c>
      <c r="D28" t="s">
        <v>455</v>
      </c>
    </row>
    <row r="29" spans="1:4" x14ac:dyDescent="0.15">
      <c r="A29">
        <v>4</v>
      </c>
      <c r="B29">
        <v>404</v>
      </c>
      <c r="C29" t="s">
        <v>454</v>
      </c>
      <c r="D29" t="s">
        <v>456</v>
      </c>
    </row>
    <row r="30" spans="1:4" x14ac:dyDescent="0.15">
      <c r="A30">
        <v>5</v>
      </c>
      <c r="B30">
        <v>500</v>
      </c>
      <c r="C30" t="s">
        <v>457</v>
      </c>
      <c r="D30" t="s">
        <v>458</v>
      </c>
    </row>
    <row r="31" spans="1:4" x14ac:dyDescent="0.15">
      <c r="A31">
        <v>5</v>
      </c>
      <c r="B31">
        <v>501</v>
      </c>
      <c r="C31" t="s">
        <v>457</v>
      </c>
      <c r="D31" t="s">
        <v>459</v>
      </c>
    </row>
    <row r="32" spans="1:4" x14ac:dyDescent="0.15">
      <c r="A32">
        <v>5</v>
      </c>
      <c r="B32">
        <v>502</v>
      </c>
      <c r="C32" t="s">
        <v>457</v>
      </c>
      <c r="D32" t="s">
        <v>460</v>
      </c>
    </row>
    <row r="33" spans="1:4" x14ac:dyDescent="0.15">
      <c r="A33">
        <v>5</v>
      </c>
      <c r="B33">
        <v>503</v>
      </c>
      <c r="C33" t="s">
        <v>457</v>
      </c>
      <c r="D33" t="s">
        <v>461</v>
      </c>
    </row>
    <row r="34" spans="1:4" x14ac:dyDescent="0.15">
      <c r="A34">
        <v>5</v>
      </c>
      <c r="B34">
        <v>504</v>
      </c>
      <c r="C34" t="s">
        <v>457</v>
      </c>
      <c r="D34" t="s">
        <v>462</v>
      </c>
    </row>
    <row r="35" spans="1:4" x14ac:dyDescent="0.15">
      <c r="A35">
        <v>6</v>
      </c>
      <c r="B35">
        <v>600</v>
      </c>
      <c r="C35" t="s">
        <v>463</v>
      </c>
      <c r="D35" t="s">
        <v>463</v>
      </c>
    </row>
    <row r="36" spans="1:4" x14ac:dyDescent="0.15">
      <c r="A36">
        <v>10</v>
      </c>
      <c r="B36">
        <v>1000</v>
      </c>
      <c r="C36" t="s">
        <v>464</v>
      </c>
      <c r="D36" t="s">
        <v>464</v>
      </c>
    </row>
    <row r="37" spans="1:4" x14ac:dyDescent="0.15">
      <c r="A37">
        <v>10</v>
      </c>
      <c r="B37">
        <v>1001</v>
      </c>
      <c r="C37" t="s">
        <v>464</v>
      </c>
      <c r="D37" t="s">
        <v>464</v>
      </c>
    </row>
    <row r="38" spans="1:4" x14ac:dyDescent="0.15">
      <c r="A38">
        <v>10</v>
      </c>
      <c r="B38">
        <v>1002</v>
      </c>
      <c r="C38" t="s">
        <v>464</v>
      </c>
      <c r="D38" t="s">
        <v>464</v>
      </c>
    </row>
    <row r="39" spans="1:4" x14ac:dyDescent="0.15">
      <c r="A39">
        <v>10</v>
      </c>
      <c r="B39">
        <v>1099</v>
      </c>
      <c r="C39" t="s">
        <v>465</v>
      </c>
      <c r="D39" t="s">
        <v>465</v>
      </c>
    </row>
    <row r="40" spans="1:4" x14ac:dyDescent="0.15">
      <c r="A40">
        <v>11</v>
      </c>
      <c r="B40">
        <v>1101</v>
      </c>
      <c r="C40" t="s">
        <v>465</v>
      </c>
      <c r="D40" t="s">
        <v>465</v>
      </c>
    </row>
    <row r="41" spans="1:4" x14ac:dyDescent="0.15">
      <c r="A41">
        <v>15</v>
      </c>
      <c r="B41">
        <v>1500</v>
      </c>
      <c r="C41" t="s">
        <v>466</v>
      </c>
      <c r="D41" t="s">
        <v>466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配置</vt:lpstr>
      <vt:lpstr>道具物品池</vt:lpstr>
      <vt:lpstr>Fox1</vt:lpstr>
      <vt:lpstr>DATA</vt:lpstr>
      <vt:lpstr>VBA_CsvPath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newyoungliu(刘洋)</dc:creator>
  <cp:lastModifiedBy>newyoungliu(刘洋)</cp:lastModifiedBy>
  <dcterms:created xsi:type="dcterms:W3CDTF">2017-12-02T08:43:06Z</dcterms:created>
  <dcterms:modified xsi:type="dcterms:W3CDTF">2018-09-19T08:55:41Z</dcterms:modified>
</cp:coreProperties>
</file>